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6"/>
  </bookViews>
  <sheets>
    <sheet name="Screener Data&gt;" sheetId="6" r:id="rId1"/>
    <sheet name="BS" sheetId="1" r:id="rId2"/>
    <sheet name="PnL" sheetId="3" r:id="rId3"/>
    <sheet name="CF" sheetId="4" r:id="rId4"/>
    <sheet name="Annual Report Data&gt;" sheetId="5" r:id="rId5"/>
    <sheet name="Profit&amp;Loss" sheetId="7" r:id="rId6"/>
    <sheet name="BalanceSheet" sheetId="2" r:id="rId7"/>
    <sheet name="CashFlow" sheetId="8" r:id="rId8"/>
  </sheets>
  <calcPr calcId="152511"/>
</workbook>
</file>

<file path=xl/calcChain.xml><?xml version="1.0" encoding="utf-8"?>
<calcChain xmlns="http://schemas.openxmlformats.org/spreadsheetml/2006/main">
  <c r="H37" i="2" l="1"/>
  <c r="G37" i="2"/>
  <c r="F37" i="2"/>
  <c r="E37" i="2"/>
  <c r="D37" i="2"/>
  <c r="C37" i="2"/>
  <c r="E35" i="2"/>
  <c r="D35" i="2"/>
  <c r="H28" i="2"/>
  <c r="H35" i="2" s="1"/>
  <c r="G28" i="2"/>
  <c r="G35" i="2" s="1"/>
  <c r="F28" i="2"/>
  <c r="F35" i="2" s="1"/>
  <c r="E28" i="2"/>
  <c r="D28" i="2"/>
  <c r="C28" i="2"/>
  <c r="C35" i="2" s="1"/>
  <c r="H6" i="2" l="1"/>
  <c r="G6" i="2"/>
  <c r="F6" i="2"/>
  <c r="E6" i="2"/>
  <c r="D6" i="2"/>
  <c r="C6" i="2"/>
  <c r="D4" i="2"/>
  <c r="E4" i="2" s="1"/>
  <c r="F4" i="2" s="1"/>
  <c r="G4" i="2" s="1"/>
  <c r="H4" i="2" s="1"/>
  <c r="E5" i="7"/>
  <c r="F5" i="7" s="1"/>
  <c r="G5" i="7" s="1"/>
  <c r="H5" i="7" s="1"/>
  <c r="D5" i="7"/>
  <c r="H14" i="7" l="1"/>
  <c r="H16" i="7" s="1"/>
  <c r="G14" i="7"/>
  <c r="G16" i="7" s="1"/>
  <c r="F14" i="7"/>
  <c r="F16" i="7" s="1"/>
  <c r="E14" i="7"/>
  <c r="E16" i="7" s="1"/>
  <c r="D14" i="7"/>
  <c r="D16" i="7" s="1"/>
  <c r="G21" i="7"/>
  <c r="F21" i="7"/>
  <c r="E21" i="7"/>
  <c r="D21" i="7"/>
  <c r="C21" i="7"/>
  <c r="H21" i="7"/>
  <c r="C14" i="7"/>
  <c r="C16" i="7" s="1"/>
  <c r="H87" i="8" l="1"/>
  <c r="G87" i="8"/>
  <c r="H72" i="8"/>
  <c r="G72" i="8"/>
  <c r="F86" i="8"/>
  <c r="F87" i="8" s="1"/>
  <c r="E86" i="8"/>
  <c r="E87" i="8" s="1"/>
  <c r="F79" i="8"/>
  <c r="G78" i="8" s="1"/>
  <c r="G79" i="8" s="1"/>
  <c r="H78" i="8" s="1"/>
  <c r="H79" i="8" s="1"/>
  <c r="E79" i="8"/>
  <c r="F72" i="8"/>
  <c r="E72" i="8"/>
  <c r="H49" i="8"/>
  <c r="H60" i="8" s="1"/>
  <c r="H10" i="8"/>
  <c r="H26" i="8"/>
  <c r="G26" i="8"/>
  <c r="G10" i="8"/>
  <c r="G49" i="8" l="1"/>
  <c r="G60" i="8"/>
  <c r="F60" i="8"/>
  <c r="E60" i="8"/>
  <c r="F26" i="8"/>
  <c r="D86" i="8" l="1"/>
  <c r="D87" i="8" s="1"/>
  <c r="C86" i="8"/>
  <c r="C87" i="8" s="1"/>
  <c r="D79" i="8"/>
  <c r="C79" i="8"/>
  <c r="D72" i="8"/>
  <c r="C72" i="8"/>
  <c r="D60" i="8"/>
  <c r="C60" i="8"/>
  <c r="D4" i="8"/>
  <c r="E4" i="8" s="1"/>
  <c r="F4" i="8" s="1"/>
  <c r="G4" i="8" s="1"/>
  <c r="H4" i="8" s="1"/>
  <c r="E23" i="7"/>
  <c r="E26" i="7" s="1"/>
  <c r="E32" i="7" s="1"/>
  <c r="E35" i="7" s="1"/>
  <c r="E37" i="7" s="1"/>
  <c r="D23" i="7"/>
  <c r="D26" i="7" s="1"/>
  <c r="D32" i="7" s="1"/>
  <c r="D35" i="7" s="1"/>
  <c r="D37" i="7" s="1"/>
  <c r="C23" i="7"/>
  <c r="C26" i="7" s="1"/>
  <c r="C32" i="7" s="1"/>
  <c r="C35" i="7" s="1"/>
  <c r="C37" i="7" s="1"/>
  <c r="D6" i="8" l="1"/>
  <c r="D30" i="8" s="1"/>
  <c r="D41" i="8" s="1"/>
  <c r="D43" i="8" s="1"/>
  <c r="E6" i="8" l="1"/>
  <c r="E30" i="8" s="1"/>
  <c r="E41" i="8" s="1"/>
  <c r="E43" i="8" s="1"/>
  <c r="H23" i="7" l="1"/>
  <c r="H26" i="7" s="1"/>
  <c r="H32" i="7" s="1"/>
  <c r="H35" i="7" s="1"/>
  <c r="H37" i="7" s="1"/>
  <c r="H6" i="8" l="1"/>
  <c r="H30" i="8" s="1"/>
  <c r="H41" i="8" s="1"/>
  <c r="H43" i="8" s="1"/>
  <c r="G23" i="7"/>
  <c r="G26" i="7" s="1"/>
  <c r="G32" i="7" s="1"/>
  <c r="G35" i="7" s="1"/>
  <c r="G37" i="7" s="1"/>
  <c r="F23" i="7"/>
  <c r="F26" i="7" s="1"/>
  <c r="F32" i="7" s="1"/>
  <c r="F35" i="7" s="1"/>
  <c r="F37" i="7" s="1"/>
  <c r="F6" i="8" l="1"/>
  <c r="F30" i="8" s="1"/>
  <c r="F41" i="8" s="1"/>
  <c r="F43" i="8" s="1"/>
  <c r="G6" i="8" l="1"/>
  <c r="G30" i="8" s="1"/>
  <c r="G41" i="8" s="1"/>
  <c r="G43" i="8" s="1"/>
  <c r="C6" i="8" l="1"/>
  <c r="C30" i="8" s="1"/>
  <c r="C41" i="8" s="1"/>
  <c r="C43" i="8" s="1"/>
</calcChain>
</file>

<file path=xl/sharedStrings.xml><?xml version="1.0" encoding="utf-8"?>
<sst xmlns="http://schemas.openxmlformats.org/spreadsheetml/2006/main" count="267" uniqueCount="244">
  <si>
    <t>Equity Capital</t>
  </si>
  <si>
    <t>Reserves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</si>
  <si>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</si>
  <si>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</si>
  <si>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</si>
  <si>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</si>
  <si>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</si>
  <si>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</si>
  <si>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</si>
  <si>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</si>
  <si>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</si>
  <si>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</si>
  <si>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</si>
  <si>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</si>
  <si>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</si>
  <si>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</si>
  <si>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</si>
  <si>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</si>
  <si>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</si>
  <si>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</si>
  <si>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</si>
  <si>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</si>
  <si>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</si>
  <si>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</si>
  <si>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</si>
  <si>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Trade receivables</t>
  </si>
  <si>
    <t>Cash Equivalents</t>
  </si>
  <si>
    <t>Loans n Advances</t>
  </si>
  <si>
    <t>Other asset items</t>
  </si>
  <si>
    <t>Total Assets</t>
  </si>
  <si>
    <t>Borrowings -</t>
  </si>
  <si>
    <t>Other Liabilities -</t>
  </si>
  <si>
    <t>Fixed Assets -</t>
  </si>
  <si>
    <t>Other Assets -</t>
  </si>
  <si>
    <t xml:space="preserve">Goodwill 6 2,002.25  2,002.25 </t>
  </si>
  <si>
    <t xml:space="preserve">Other intangible assets 6 1,58,833.97  1,70,146.33 </t>
  </si>
  <si>
    <t xml:space="preserve">Intangible assets under development 6 7,469.92  5,695.36 </t>
  </si>
  <si>
    <t xml:space="preserve">Right-of-use assets 7 11,906.13  11,436.47 </t>
  </si>
  <si>
    <t xml:space="preserve">Investment in associates and joint ventures 8 18,928.24  18,141.12 </t>
  </si>
  <si>
    <t>Cash in hand</t>
  </si>
  <si>
    <t>Loan to employees</t>
  </si>
  <si>
    <t>Investment properties</t>
  </si>
  <si>
    <t>Intangible assets under development</t>
  </si>
  <si>
    <t>Financial assets</t>
  </si>
  <si>
    <t>Income tax assets (net)</t>
  </si>
  <si>
    <t>Deferred tax assets (net)</t>
  </si>
  <si>
    <t>Other non-current assets</t>
  </si>
  <si>
    <t>Total non-current assets</t>
  </si>
  <si>
    <t>Other current assets</t>
  </si>
  <si>
    <t>Assets classified as held for sale</t>
  </si>
  <si>
    <t>Total current assets</t>
  </si>
  <si>
    <t>Non Current Assets</t>
  </si>
  <si>
    <t>Property , plant and equipment</t>
  </si>
  <si>
    <t>Capital work in progress</t>
  </si>
  <si>
    <t>Right-of-use-assets</t>
  </si>
  <si>
    <t>Investment in associatesand joint ventures</t>
  </si>
  <si>
    <t>Current Assets</t>
  </si>
  <si>
    <t>Equity &amp; Liabilities</t>
  </si>
  <si>
    <t xml:space="preserve">Equity </t>
  </si>
  <si>
    <t>Equity Share Capital</t>
  </si>
  <si>
    <t>Other Equity</t>
  </si>
  <si>
    <t>EQ attributed to equity holders of parent</t>
  </si>
  <si>
    <t>Non controlling interest</t>
  </si>
  <si>
    <t>Total Equity</t>
  </si>
  <si>
    <t>Liabilities</t>
  </si>
  <si>
    <t>Non-current Liabilities</t>
  </si>
  <si>
    <t>Financial liabilities</t>
  </si>
  <si>
    <t>(i) Borrowings</t>
  </si>
  <si>
    <t>(ii) Lease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</si>
  <si>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</si>
  <si>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</si>
  <si>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</si>
  <si>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</si>
  <si>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</si>
  <si>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Financial liabilitirs</t>
  </si>
  <si>
    <t>(iii) Trade Payables</t>
  </si>
  <si>
    <t>(iv) Other financial liabilities</t>
  </si>
  <si>
    <t>Current tax liabilities (net)</t>
  </si>
  <si>
    <t>Other current liabilities</t>
  </si>
  <si>
    <t>Total Current Liabilities</t>
  </si>
  <si>
    <t>Total Equity &amp; Liabilities</t>
  </si>
  <si>
    <t>Sales Growth %</t>
  </si>
  <si>
    <t>Raw material cost</t>
  </si>
  <si>
    <t>Change in inventory</t>
  </si>
  <si>
    <t>Manufacturing Cost %</t>
  </si>
  <si>
    <t>Employee Cost %</t>
  </si>
  <si>
    <t>Other Cost %</t>
  </si>
  <si>
    <t>Operating Profit</t>
  </si>
  <si>
    <t>OPM %</t>
  </si>
  <si>
    <t>Exceptional items</t>
  </si>
  <si>
    <t>Other income normal</t>
  </si>
  <si>
    <t>Interest</t>
  </si>
  <si>
    <t>Depreciation</t>
  </si>
  <si>
    <t>Profit before tax</t>
  </si>
  <si>
    <t>Tax %</t>
  </si>
  <si>
    <t>Profit from Associates</t>
  </si>
  <si>
    <t>Minority share</t>
  </si>
  <si>
    <t>Exceptional items AT</t>
  </si>
  <si>
    <t>Profit excl Excep</t>
  </si>
  <si>
    <t>Profit for PE</t>
  </si>
  <si>
    <t>Profit for EPS</t>
  </si>
  <si>
    <t>EPS in Rs</t>
  </si>
  <si>
    <t>Dividend Payout %</t>
  </si>
  <si>
    <t>Sales -</t>
  </si>
  <si>
    <t>Expenses -</t>
  </si>
  <si>
    <t>Material Cost % -</t>
  </si>
  <si>
    <t>Other Income -</t>
  </si>
  <si>
    <t>Net Profit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</si>
  <si>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</si>
  <si>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</si>
  <si>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</si>
  <si>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</si>
  <si>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</si>
  <si>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</si>
  <si>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</si>
  <si>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</si>
  <si>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</si>
  <si>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</si>
  <si>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</si>
  <si>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</si>
  <si>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</si>
  <si>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</si>
  <si>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</si>
  <si>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</si>
  <si>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</si>
  <si>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</si>
  <si>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</si>
  <si>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</si>
  <si>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</si>
  <si>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Other financing items</t>
  </si>
  <si>
    <t>Net Cash Flow</t>
  </si>
  <si>
    <t>Cash from Operating Activity -</t>
  </si>
  <si>
    <t>Cash from Investing Activity -</t>
  </si>
  <si>
    <t>Cash from Financing Activity -</t>
  </si>
  <si>
    <t>Cost of raw materials and components consumed</t>
  </si>
  <si>
    <t>Purchases of stock-in-trade</t>
  </si>
  <si>
    <t>Employee benefit expenses</t>
  </si>
  <si>
    <t>Finance costs</t>
  </si>
  <si>
    <t>Other expenses</t>
  </si>
  <si>
    <t>Share of net profit of associates and joint ventures</t>
  </si>
  <si>
    <t>Cash Flow from Operating Activities</t>
  </si>
  <si>
    <t>PBT</t>
  </si>
  <si>
    <t>Share of asso and joint ventures</t>
  </si>
  <si>
    <t>Dep &amp; Amo expense</t>
  </si>
  <si>
    <t>Impairment of non-current assets</t>
  </si>
  <si>
    <t>-</t>
  </si>
  <si>
    <t>Net loss/(gain) on current investments measured at FVTPL</t>
  </si>
  <si>
    <t>Dividend income from financial assets measured at FVTPL</t>
  </si>
  <si>
    <t>Dividend income from investment measured at FVTPL</t>
  </si>
  <si>
    <t>Government grant income</t>
  </si>
  <si>
    <t>Unrealized foreign exchange (gain) / loss (net)</t>
  </si>
  <si>
    <t>Exchange difference on translation of financial statements foreign operations</t>
  </si>
  <si>
    <t>Loss/(gain) on disposal of property, plant and equipment (net)</t>
  </si>
  <si>
    <t>Loss/(gain) on sale of investment property (net)</t>
  </si>
  <si>
    <t>Trade and other receivable balances written off</t>
  </si>
  <si>
    <t>Liabilities written back</t>
  </si>
  <si>
    <t>Allowance for expected credit loss</t>
  </si>
  <si>
    <t>Allowance for doubtful loans</t>
  </si>
  <si>
    <t>Impairment losses on financial assets</t>
  </si>
  <si>
    <t>Finance income</t>
  </si>
  <si>
    <t>Interest on delay deposit of income tax</t>
  </si>
  <si>
    <t>Interest on lease liability</t>
  </si>
  <si>
    <t>Goodwill written off</t>
  </si>
  <si>
    <t>Operating profit before working capital changes</t>
  </si>
  <si>
    <t>Working capital adjustments:</t>
  </si>
  <si>
    <t>(Increase)/ Decrease in trade receivables</t>
  </si>
  <si>
    <t>(Increase)/ Decrease in inventories</t>
  </si>
  <si>
    <t>(Increase)/ Decrease in other asset</t>
  </si>
  <si>
    <t>Increase/ (Decrease) provisions</t>
  </si>
  <si>
    <t>Increase/ (Decrease) in trade payable</t>
  </si>
  <si>
    <t>Increase/ (Decrease) in other financial liability</t>
  </si>
  <si>
    <t>Increase/ (Decrease) in other liability</t>
  </si>
  <si>
    <t>Cash generated from operations</t>
  </si>
  <si>
    <t>Income tax paid</t>
  </si>
  <si>
    <t>Net cash inflow from operating activities</t>
  </si>
  <si>
    <t>Cash flow from Investing activities</t>
  </si>
  <si>
    <t>Proceeds from sale of property, plant and equipment</t>
  </si>
  <si>
    <t>Purchase of property, plant and equipment and investment property</t>
  </si>
  <si>
    <t>Proceeds from sale / (Purchase of investment) in mutual funds</t>
  </si>
  <si>
    <t>Dividend received</t>
  </si>
  <si>
    <t>Loan to related parties (net)</t>
  </si>
  <si>
    <t>Loan to other parties (net)</t>
  </si>
  <si>
    <t>Bank deposit not considered as cash and cash equivalents (net)</t>
  </si>
  <si>
    <t>Investment in associates and joint ventures (net)</t>
  </si>
  <si>
    <t>Payment/ proceeds from investment properties (net)</t>
  </si>
  <si>
    <t>Interest received (finance income)</t>
  </si>
  <si>
    <t>Net cash inflow/(outflow) from investing activities</t>
  </si>
  <si>
    <t>Cash flow from Financing activities</t>
  </si>
  <si>
    <t>Finance cost</t>
  </si>
  <si>
    <t>Proceeds from Current borrowings</t>
  </si>
  <si>
    <t>Proceeds from Non-Current borrowings</t>
  </si>
  <si>
    <t>Repayment of Current borrowings</t>
  </si>
  <si>
    <t>Repayment of Non-Current borrowings</t>
  </si>
  <si>
    <t>Payment of principal portion of lease liabilities</t>
  </si>
  <si>
    <t>Dividend and tax paid thereon to equity holders of parent company</t>
  </si>
  <si>
    <t>Net cash inflow/(outflow) from financing activities</t>
  </si>
  <si>
    <t>Net increase in cash and cash equivalents</t>
  </si>
  <si>
    <t>Net foreign exchange difference</t>
  </si>
  <si>
    <t>Add: Pursuant to acquisition/ disposal of control in subsidiaries</t>
  </si>
  <si>
    <t>Cash and cash equivalents at the beginning of the year</t>
  </si>
  <si>
    <t>Cash and cash equivalents at year end</t>
  </si>
  <si>
    <t>Components of cash and cash equivalents</t>
  </si>
  <si>
    <t>Balances with banks</t>
  </si>
  <si>
    <t>- on current Account</t>
  </si>
  <si>
    <t>- on deposit account</t>
  </si>
  <si>
    <t>Cash on hand</t>
  </si>
  <si>
    <t>Cheques on hand</t>
  </si>
  <si>
    <t>Adj to reconcile profit before tax to net CF :</t>
  </si>
  <si>
    <t>Consideration paid for investment in subsidiary</t>
  </si>
  <si>
    <t>Assets written off</t>
  </si>
  <si>
    <t xml:space="preserve">(Increase)/ Decrease in financial asset </t>
  </si>
  <si>
    <t>Purchase of other Intangible Assets</t>
  </si>
  <si>
    <t>Purchase of inv measured at FVTPL / FVTOCI</t>
  </si>
  <si>
    <t>Purchase of Right of Use of Asset</t>
  </si>
  <si>
    <t>Payment of interest portion of lease liabilities</t>
  </si>
  <si>
    <t>Transaction with non controlling interest , Pursuant to acquisition/ disposal of control in subsidiaries</t>
  </si>
  <si>
    <t>Total cash and cash equivalents</t>
  </si>
  <si>
    <t>Cost of Goods Sold</t>
  </si>
  <si>
    <t>Expenses:</t>
  </si>
  <si>
    <t>Total Cost of Goods Sold</t>
  </si>
  <si>
    <t>Gross Profit</t>
  </si>
  <si>
    <t>SG&amp;A Expenses (Excluding Depreciaion &amp; Interest)</t>
  </si>
  <si>
    <t>Total SG&amp;A Expenses</t>
  </si>
  <si>
    <t>Earnings Before Interest Tax &amp; Depreciation (EBITDA)</t>
  </si>
  <si>
    <t>Less: Depreciation &amp; Amortization</t>
  </si>
  <si>
    <t>Earnings Before Interest &amp; Tax  (EBIT)</t>
  </si>
  <si>
    <t>Less: Finance Cost</t>
  </si>
  <si>
    <t>Revenue from Operations (Net)</t>
  </si>
  <si>
    <t>Add: Other Income</t>
  </si>
  <si>
    <t>Profit Before Tax</t>
  </si>
  <si>
    <t>Sum</t>
  </si>
  <si>
    <t>Average</t>
  </si>
  <si>
    <t>Running Total</t>
  </si>
  <si>
    <t>Count</t>
  </si>
  <si>
    <t>Profit Before Tax &amp; Exceptional Item</t>
  </si>
  <si>
    <t>Less: Tax Expenses</t>
  </si>
  <si>
    <t>Profit After Tax</t>
  </si>
  <si>
    <t>Particulars</t>
  </si>
  <si>
    <t>Fixed Assets</t>
  </si>
  <si>
    <t>Intangible assets</t>
  </si>
  <si>
    <t>Loans</t>
  </si>
  <si>
    <t>Other financial assets</t>
  </si>
  <si>
    <t>Bank balances other than above</t>
  </si>
  <si>
    <t>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</si>
</sst>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;\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17" fontId="1" fillId="0" borderId="0" xfId="0" applyNumberFormat="1" applyFont="1"/>
    <xf numFmtId="15" fontId="0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0" fillId="0" borderId="0" xfId="0" applyFont="1"/>
    <xf numFmtId="2" fontId="0" fillId="0" borderId="0" xfId="0" applyNumberFormat="1"/>
    <xf numFmtId="2" fontId="1" fillId="0" borderId="0" xfId="0" applyNumberFormat="1" applyFont="1"/>
    <xf numFmtId="17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 indent="1"/>
    </xf>
    <xf numFmtId="17" fontId="0" fillId="0" borderId="0" xfId="0" applyNumberFormat="1" applyFont="1"/>
    <xf numFmtId="0" fontId="1" fillId="0" borderId="0" xfId="0" applyFont="1" applyAlignment="1">
      <alignment horizontal="left"/>
    </xf>
    <xf numFmtId="164" fontId="0" fillId="0" borderId="0" xfId="0" applyNumberFormat="1" applyAlignment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164" fontId="1" fillId="0" borderId="0" xfId="0" applyNumberFormat="1" applyFont="1" applyAlignment="1"/>
    <xf numFmtId="0" fontId="0" fillId="0" borderId="0" xfId="0" applyAlignment="1">
      <alignment horizontal="left"/>
    </xf>
    <xf numFmtId="164" fontId="0" fillId="0" borderId="0" xfId="0" applyNumberFormat="1" applyFont="1" applyAlignment="1"/>
    <xf numFmtId="0" fontId="1" fillId="0" borderId="1" xfId="0" applyFont="1" applyBorder="1"/>
    <xf numFmtId="164" fontId="1" fillId="0" borderId="1" xfId="0" applyNumberFormat="1" applyFont="1" applyBorder="1" applyAlignment="1"/>
    <xf numFmtId="0" fontId="2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/>
    </xf>
    <xf numFmtId="0" fontId="1" fillId="0" borderId="0" xfId="0" applyFont="1" applyBorder="1"/>
    <xf numFmtId="16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07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1"/>
  <sheetViews>
    <sheetView workbookViewId="0">
      <pane ySplit="4" topLeftCell="A5" activePane="bottomLeft" state="frozen"/>
      <selection pane="bottomLeft" activeCell="M10" sqref="M10"/>
    </sheetView>
  </sheetViews>
  <sheetFormatPr defaultRowHeight="14.4" x14ac:dyDescent="0.3"/>
  <cols>
    <col min="2" max="2" width="22.77734375" bestFit="1" customWidth="1"/>
    <col min="3" max="8" width="7" bestFit="1" customWidth="1"/>
  </cols>
  <sheetData>
    <row r="4" spans="2:11" x14ac:dyDescent="0.3">
      <c r="C4" s="2">
        <v>43891</v>
      </c>
      <c r="D4" s="2">
        <v>44256</v>
      </c>
      <c r="E4" s="2">
        <v>44621</v>
      </c>
      <c r="F4" s="2">
        <v>44986</v>
      </c>
      <c r="G4" s="2">
        <v>45352</v>
      </c>
      <c r="H4" s="2">
        <v>45717</v>
      </c>
    </row>
    <row r="5" spans="2:11" x14ac:dyDescent="0.3">
      <c r="B5" t="s">
        <v>0</v>
      </c>
      <c r="C5">
        <v>40</v>
      </c>
      <c r="D5">
        <v>40</v>
      </c>
      <c r="E5">
        <v>40</v>
      </c>
      <c r="F5">
        <v>40</v>
      </c>
      <c r="G5">
        <v>40</v>
      </c>
      <c r="H5">
        <v>41</v>
      </c>
      <c r="K5" s="3" t="s">
        <v>34</v>
      </c>
    </row>
    <row r="6" spans="2:11" x14ac:dyDescent="0.3">
      <c r="B6" t="s">
        <v>1</v>
      </c>
      <c r="C6" s="1">
        <v>3445</v>
      </c>
      <c r="D6" s="1">
        <v>4682</v>
      </c>
      <c r="E6" s="1">
        <v>6115</v>
      </c>
      <c r="F6" s="1">
        <v>7395</v>
      </c>
      <c r="G6" s="1">
        <v>9323</v>
      </c>
      <c r="H6" s="1">
        <v>14291</v>
      </c>
      <c r="K6" s="3" t="s">
        <v>35</v>
      </c>
    </row>
    <row r="7" spans="2:11" x14ac:dyDescent="0.3">
      <c r="B7" t="s">
        <v>30</v>
      </c>
      <c r="C7">
        <v>131</v>
      </c>
      <c r="D7">
        <v>241</v>
      </c>
      <c r="E7">
        <v>873</v>
      </c>
      <c r="F7">
        <v>170</v>
      </c>
      <c r="G7">
        <v>207</v>
      </c>
      <c r="H7" s="1">
        <v>8511</v>
      </c>
      <c r="K7" s="3" t="s">
        <v>36</v>
      </c>
    </row>
    <row r="8" spans="2:11" x14ac:dyDescent="0.3">
      <c r="B8" t="s">
        <v>2</v>
      </c>
      <c r="C8">
        <v>50</v>
      </c>
      <c r="D8">
        <v>58</v>
      </c>
      <c r="E8">
        <v>49</v>
      </c>
      <c r="F8">
        <v>23</v>
      </c>
      <c r="G8">
        <v>25</v>
      </c>
      <c r="H8" s="1">
        <v>5526</v>
      </c>
      <c r="K8" s="3" t="s">
        <v>37</v>
      </c>
    </row>
    <row r="9" spans="2:11" x14ac:dyDescent="0.3">
      <c r="B9" t="s">
        <v>3</v>
      </c>
      <c r="C9">
        <v>77</v>
      </c>
      <c r="D9">
        <v>177</v>
      </c>
      <c r="E9">
        <v>819</v>
      </c>
      <c r="F9">
        <v>139</v>
      </c>
      <c r="G9">
        <v>171</v>
      </c>
      <c r="H9" s="1">
        <v>2957</v>
      </c>
      <c r="K9" s="3" t="s">
        <v>38</v>
      </c>
    </row>
    <row r="10" spans="2:11" x14ac:dyDescent="0.3">
      <c r="B10" t="s">
        <v>4</v>
      </c>
      <c r="C10">
        <v>4</v>
      </c>
      <c r="D10">
        <v>6</v>
      </c>
      <c r="E10">
        <v>5</v>
      </c>
      <c r="F10">
        <v>8</v>
      </c>
      <c r="G10">
        <v>11</v>
      </c>
      <c r="H10">
        <v>28</v>
      </c>
    </row>
    <row r="11" spans="2:11" x14ac:dyDescent="0.3">
      <c r="B11" t="s">
        <v>5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2:11" x14ac:dyDescent="0.3">
      <c r="B12" t="s">
        <v>31</v>
      </c>
      <c r="C12" s="1">
        <v>1449</v>
      </c>
      <c r="D12" s="1">
        <v>1397</v>
      </c>
      <c r="E12" s="1">
        <v>2080</v>
      </c>
      <c r="F12" s="1">
        <v>2080</v>
      </c>
      <c r="G12" s="1">
        <v>2313</v>
      </c>
      <c r="H12" s="1">
        <v>4916</v>
      </c>
    </row>
    <row r="13" spans="2:11" x14ac:dyDescent="0.3">
      <c r="B13" t="s">
        <v>6</v>
      </c>
      <c r="C13">
        <v>186</v>
      </c>
      <c r="D13">
        <v>141</v>
      </c>
      <c r="E13">
        <v>161</v>
      </c>
      <c r="F13">
        <v>188</v>
      </c>
      <c r="G13">
        <v>213</v>
      </c>
      <c r="H13">
        <v>236</v>
      </c>
    </row>
    <row r="14" spans="2:11" x14ac:dyDescent="0.3">
      <c r="B14" t="s">
        <v>7</v>
      </c>
      <c r="C14">
        <v>745</v>
      </c>
      <c r="D14">
        <v>667</v>
      </c>
      <c r="E14" s="1">
        <v>1076</v>
      </c>
      <c r="F14" s="1">
        <v>1008</v>
      </c>
      <c r="G14" s="1">
        <v>1103</v>
      </c>
      <c r="H14" s="1">
        <v>1133</v>
      </c>
    </row>
    <row r="15" spans="2:11" x14ac:dyDescent="0.3">
      <c r="B15" t="s">
        <v>8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2:11" x14ac:dyDescent="0.3">
      <c r="B16" t="s">
        <v>9</v>
      </c>
      <c r="C16">
        <v>517</v>
      </c>
      <c r="D16">
        <v>588</v>
      </c>
      <c r="E16">
        <v>842</v>
      </c>
      <c r="F16">
        <v>882</v>
      </c>
      <c r="G16">
        <v>996</v>
      </c>
      <c r="H16" s="1">
        <v>3546</v>
      </c>
    </row>
    <row r="17" spans="2:8" x14ac:dyDescent="0.3">
      <c r="B17" t="s">
        <v>10</v>
      </c>
      <c r="C17" s="1">
        <v>5065</v>
      </c>
      <c r="D17" s="1">
        <v>6360</v>
      </c>
      <c r="E17" s="1">
        <v>9108</v>
      </c>
      <c r="F17" s="1">
        <v>9686</v>
      </c>
      <c r="G17" s="1">
        <v>11883</v>
      </c>
      <c r="H17" s="1">
        <v>27760</v>
      </c>
    </row>
    <row r="18" spans="2:8" x14ac:dyDescent="0.3">
      <c r="B18" t="s">
        <v>32</v>
      </c>
      <c r="C18" s="1">
        <v>1600</v>
      </c>
      <c r="D18" s="1">
        <v>1664</v>
      </c>
      <c r="E18" s="1">
        <v>3588</v>
      </c>
      <c r="F18" s="1">
        <v>4251</v>
      </c>
      <c r="G18" s="1">
        <v>4545</v>
      </c>
      <c r="H18" s="1">
        <v>19524</v>
      </c>
    </row>
    <row r="19" spans="2:8" x14ac:dyDescent="0.3">
      <c r="B19" t="s">
        <v>11</v>
      </c>
      <c r="C19">
        <v>291</v>
      </c>
      <c r="D19">
        <v>291</v>
      </c>
      <c r="E19">
        <v>308</v>
      </c>
      <c r="F19">
        <v>463</v>
      </c>
      <c r="G19">
        <v>465</v>
      </c>
    </row>
    <row r="20" spans="2:8" x14ac:dyDescent="0.3">
      <c r="B20" t="s">
        <v>12</v>
      </c>
      <c r="C20">
        <v>565</v>
      </c>
      <c r="D20">
        <v>589</v>
      </c>
      <c r="E20">
        <v>601</v>
      </c>
      <c r="F20" s="1">
        <v>1069</v>
      </c>
      <c r="G20" s="1">
        <v>1279</v>
      </c>
    </row>
    <row r="21" spans="2:8" x14ac:dyDescent="0.3">
      <c r="B21" t="s">
        <v>13</v>
      </c>
      <c r="C21">
        <v>869</v>
      </c>
      <c r="D21">
        <v>979</v>
      </c>
      <c r="E21" s="1">
        <v>1136</v>
      </c>
      <c r="F21" s="1">
        <v>1349</v>
      </c>
      <c r="G21" s="1">
        <v>1696</v>
      </c>
    </row>
    <row r="22" spans="2:8" x14ac:dyDescent="0.3">
      <c r="B22" t="s">
        <v>14</v>
      </c>
      <c r="C22">
        <v>20</v>
      </c>
      <c r="D22">
        <v>34</v>
      </c>
      <c r="E22">
        <v>63</v>
      </c>
      <c r="F22">
        <v>95</v>
      </c>
      <c r="G22">
        <v>110</v>
      </c>
    </row>
    <row r="23" spans="2:8" x14ac:dyDescent="0.3">
      <c r="B23" t="s">
        <v>15</v>
      </c>
      <c r="C23">
        <v>25</v>
      </c>
      <c r="D23">
        <v>27</v>
      </c>
      <c r="E23">
        <v>32</v>
      </c>
      <c r="F23">
        <v>57</v>
      </c>
      <c r="G23">
        <v>72</v>
      </c>
    </row>
    <row r="24" spans="2:8" x14ac:dyDescent="0.3">
      <c r="B24" t="s">
        <v>16</v>
      </c>
      <c r="C24">
        <v>101</v>
      </c>
      <c r="D24">
        <v>111</v>
      </c>
      <c r="E24">
        <v>119</v>
      </c>
      <c r="F24">
        <v>163</v>
      </c>
      <c r="G24">
        <v>191</v>
      </c>
    </row>
    <row r="25" spans="2:8" x14ac:dyDescent="0.3">
      <c r="B25" t="s">
        <v>17</v>
      </c>
      <c r="C25">
        <v>32</v>
      </c>
      <c r="D25">
        <v>34</v>
      </c>
      <c r="E25">
        <v>42</v>
      </c>
      <c r="F25">
        <v>71</v>
      </c>
      <c r="G25">
        <v>82</v>
      </c>
    </row>
    <row r="26" spans="2:8" x14ac:dyDescent="0.3">
      <c r="B26" s="4" t="s">
        <v>18</v>
      </c>
      <c r="C26" s="4">
        <v>68</v>
      </c>
      <c r="D26" s="4">
        <v>68</v>
      </c>
      <c r="E26" s="5">
        <v>1861</v>
      </c>
      <c r="F26" s="5">
        <v>1871</v>
      </c>
      <c r="G26" s="5">
        <v>1871</v>
      </c>
      <c r="H26" s="5">
        <v>16616</v>
      </c>
    </row>
    <row r="27" spans="2:8" x14ac:dyDescent="0.3">
      <c r="B27" t="s">
        <v>19</v>
      </c>
      <c r="C27">
        <v>23</v>
      </c>
      <c r="D27">
        <v>33</v>
      </c>
      <c r="E27">
        <v>89</v>
      </c>
      <c r="F27">
        <v>100</v>
      </c>
      <c r="G27">
        <v>150</v>
      </c>
    </row>
    <row r="28" spans="2:8" x14ac:dyDescent="0.3">
      <c r="B28" s="4" t="s">
        <v>20</v>
      </c>
      <c r="C28" s="5">
        <v>1993</v>
      </c>
      <c r="D28" s="5">
        <v>2166</v>
      </c>
      <c r="E28" s="5">
        <v>4252</v>
      </c>
      <c r="F28" s="5">
        <v>5239</v>
      </c>
      <c r="G28" s="5">
        <v>5915</v>
      </c>
      <c r="H28" s="4"/>
    </row>
    <row r="29" spans="2:8" x14ac:dyDescent="0.3">
      <c r="B29" t="s">
        <v>21</v>
      </c>
      <c r="C29">
        <v>394</v>
      </c>
      <c r="D29">
        <v>501</v>
      </c>
      <c r="E29">
        <v>664</v>
      </c>
      <c r="F29">
        <v>988</v>
      </c>
      <c r="G29" s="1">
        <v>1370</v>
      </c>
    </row>
    <row r="30" spans="2:8" x14ac:dyDescent="0.3">
      <c r="B30" t="s">
        <v>22</v>
      </c>
      <c r="C30">
        <v>317</v>
      </c>
      <c r="D30">
        <v>372</v>
      </c>
      <c r="E30">
        <v>701</v>
      </c>
      <c r="F30">
        <v>550</v>
      </c>
      <c r="G30">
        <v>282</v>
      </c>
      <c r="H30">
        <v>306</v>
      </c>
    </row>
    <row r="31" spans="2:8" x14ac:dyDescent="0.3">
      <c r="B31" t="s">
        <v>23</v>
      </c>
      <c r="C31">
        <v>829</v>
      </c>
      <c r="D31" s="1">
        <v>1512</v>
      </c>
      <c r="E31" s="1">
        <v>1109</v>
      </c>
      <c r="F31" s="1">
        <v>1346</v>
      </c>
      <c r="G31" s="1">
        <v>2568</v>
      </c>
      <c r="H31" s="1">
        <v>2042</v>
      </c>
    </row>
    <row r="32" spans="2:8" x14ac:dyDescent="0.3">
      <c r="B32" t="s">
        <v>33</v>
      </c>
      <c r="C32" s="1">
        <v>2319</v>
      </c>
      <c r="D32" s="1">
        <v>2811</v>
      </c>
      <c r="E32" s="1">
        <v>3709</v>
      </c>
      <c r="F32" s="1">
        <v>3538</v>
      </c>
      <c r="G32" s="1">
        <v>4488</v>
      </c>
      <c r="H32" s="1">
        <v>5887</v>
      </c>
    </row>
    <row r="33" spans="2:8" x14ac:dyDescent="0.3">
      <c r="B33" t="s">
        <v>24</v>
      </c>
      <c r="C33">
        <v>899</v>
      </c>
      <c r="D33" s="1">
        <v>1184</v>
      </c>
      <c r="E33" s="1">
        <v>1760</v>
      </c>
      <c r="F33" s="1">
        <v>1498</v>
      </c>
      <c r="G33" s="1">
        <v>1553</v>
      </c>
      <c r="H33" s="1">
        <v>2094</v>
      </c>
    </row>
    <row r="34" spans="2:8" x14ac:dyDescent="0.3">
      <c r="B34" t="s">
        <v>25</v>
      </c>
      <c r="C34">
        <v>531</v>
      </c>
      <c r="D34">
        <v>331</v>
      </c>
      <c r="E34">
        <v>388</v>
      </c>
      <c r="F34">
        <v>576</v>
      </c>
      <c r="G34">
        <v>848</v>
      </c>
      <c r="H34" s="1">
        <v>1538</v>
      </c>
    </row>
    <row r="35" spans="2:8" x14ac:dyDescent="0.3">
      <c r="B35" t="s">
        <v>26</v>
      </c>
      <c r="C35">
        <v>420</v>
      </c>
      <c r="D35">
        <v>701</v>
      </c>
      <c r="E35">
        <v>406</v>
      </c>
      <c r="F35">
        <v>453</v>
      </c>
      <c r="G35" s="1">
        <v>1198</v>
      </c>
      <c r="H35">
        <v>554</v>
      </c>
    </row>
    <row r="36" spans="2:8" x14ac:dyDescent="0.3">
      <c r="B36" t="s">
        <v>27</v>
      </c>
      <c r="C36">
        <v>85</v>
      </c>
      <c r="D36">
        <v>87</v>
      </c>
      <c r="E36">
        <v>208</v>
      </c>
      <c r="F36">
        <v>67</v>
      </c>
      <c r="G36">
        <v>91</v>
      </c>
      <c r="H36">
        <v>204</v>
      </c>
    </row>
    <row r="37" spans="2:8" x14ac:dyDescent="0.3">
      <c r="B37" t="s">
        <v>28</v>
      </c>
      <c r="C37">
        <v>384</v>
      </c>
      <c r="D37">
        <v>510</v>
      </c>
      <c r="E37">
        <v>947</v>
      </c>
      <c r="F37">
        <v>943</v>
      </c>
      <c r="G37">
        <v>797</v>
      </c>
      <c r="H37" s="1">
        <v>1497</v>
      </c>
    </row>
    <row r="38" spans="2:8" x14ac:dyDescent="0.3">
      <c r="B38" t="s">
        <v>29</v>
      </c>
      <c r="C38" s="1">
        <v>5065</v>
      </c>
      <c r="D38" s="1">
        <v>6360</v>
      </c>
      <c r="E38" s="1">
        <v>9108</v>
      </c>
      <c r="F38" s="1">
        <v>9686</v>
      </c>
      <c r="G38" s="1">
        <v>11883</v>
      </c>
      <c r="H38" s="1">
        <v>27760</v>
      </c>
    </row>
    <row r="39" spans="2:8" s="4" customFormat="1" x14ac:dyDescent="0.3">
      <c r="B39" s="4" t="s">
        <v>39</v>
      </c>
      <c r="F39" s="4">
        <v>45</v>
      </c>
      <c r="G39" s="4">
        <v>73</v>
      </c>
    </row>
    <row r="40" spans="2:8" s="4" customFormat="1" x14ac:dyDescent="0.3">
      <c r="B40" s="4" t="s">
        <v>25</v>
      </c>
      <c r="F40" s="4">
        <v>57642</v>
      </c>
      <c r="G40" s="4">
        <v>84828</v>
      </c>
    </row>
    <row r="41" spans="2:8" x14ac:dyDescent="0.3">
      <c r="B41" s="4" t="s">
        <v>40</v>
      </c>
      <c r="C41" s="4"/>
      <c r="D41" s="4"/>
      <c r="E41" s="4"/>
      <c r="F41" s="4">
        <v>163</v>
      </c>
      <c r="G41" s="4">
        <v>286</v>
      </c>
      <c r="H4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workbookViewId="0">
      <selection activeCell="B6" sqref="B6"/>
    </sheetView>
  </sheetViews>
  <sheetFormatPr defaultRowHeight="14.4" x14ac:dyDescent="0.3"/>
  <cols>
    <col min="2" max="2" width="19.77734375" style="6" bestFit="1" customWidth="1"/>
    <col min="3" max="3" width="19.21875" bestFit="1" customWidth="1"/>
    <col min="4" max="10" width="7" bestFit="1" customWidth="1"/>
  </cols>
  <sheetData>
    <row r="3" spans="2:10" x14ac:dyDescent="0.3">
      <c r="B3" s="16"/>
      <c r="C3" s="2">
        <v>42064</v>
      </c>
      <c r="D3" s="2">
        <v>43891</v>
      </c>
      <c r="E3" s="2">
        <v>44256</v>
      </c>
      <c r="F3" s="2">
        <v>44621</v>
      </c>
      <c r="G3" s="2">
        <v>44986</v>
      </c>
      <c r="H3" s="2">
        <v>45352</v>
      </c>
      <c r="I3" s="2">
        <v>45717</v>
      </c>
      <c r="J3" s="9"/>
    </row>
    <row r="4" spans="2:10" x14ac:dyDescent="0.3">
      <c r="B4" s="6" t="s">
        <v>103</v>
      </c>
      <c r="C4" s="1">
        <v>3334</v>
      </c>
      <c r="D4" s="1">
        <v>5865</v>
      </c>
      <c r="E4" s="1">
        <v>6214</v>
      </c>
      <c r="F4" s="1">
        <v>7782</v>
      </c>
      <c r="G4" s="1">
        <v>8749</v>
      </c>
      <c r="H4" s="1">
        <v>10335</v>
      </c>
      <c r="I4" s="1">
        <v>12207</v>
      </c>
      <c r="J4" s="1"/>
    </row>
    <row r="5" spans="2:10" x14ac:dyDescent="0.3">
      <c r="B5" s="6" t="s">
        <v>81</v>
      </c>
      <c r="E5" s="10">
        <v>5.9499999999999997E-2</v>
      </c>
      <c r="F5" s="10">
        <v>0.25219999999999998</v>
      </c>
      <c r="G5" s="10">
        <v>0.1244</v>
      </c>
      <c r="H5" s="10">
        <v>0.1812</v>
      </c>
      <c r="I5" s="10">
        <v>0.1812</v>
      </c>
      <c r="J5" s="10"/>
    </row>
    <row r="6" spans="2:10" x14ac:dyDescent="0.3">
      <c r="B6" s="6" t="s">
        <v>104</v>
      </c>
      <c r="C6" s="1">
        <v>2748</v>
      </c>
      <c r="D6" s="1">
        <v>4427</v>
      </c>
      <c r="E6" s="1">
        <v>4565</v>
      </c>
      <c r="F6" s="1">
        <v>5791</v>
      </c>
      <c r="G6" s="1">
        <v>6848</v>
      </c>
      <c r="H6" s="1">
        <v>7796</v>
      </c>
      <c r="I6" s="1">
        <v>9190</v>
      </c>
      <c r="J6" s="1"/>
    </row>
    <row r="7" spans="2:10" x14ac:dyDescent="0.3">
      <c r="B7" s="6" t="s">
        <v>105</v>
      </c>
      <c r="C7" s="10">
        <v>0.42430000000000001</v>
      </c>
      <c r="D7" s="10">
        <v>0.32019999999999998</v>
      </c>
      <c r="E7" s="10">
        <v>0.28649999999999998</v>
      </c>
      <c r="F7" s="10">
        <v>0.31119999999999998</v>
      </c>
      <c r="G7" s="10">
        <v>0.33279999999999998</v>
      </c>
      <c r="H7" s="10">
        <v>0.30659999999999998</v>
      </c>
      <c r="I7" s="10">
        <v>0.2858</v>
      </c>
      <c r="J7" s="10"/>
    </row>
    <row r="8" spans="2:10" x14ac:dyDescent="0.3">
      <c r="B8" s="6" t="s">
        <v>82</v>
      </c>
      <c r="C8" s="1">
        <v>1504</v>
      </c>
      <c r="D8" s="1">
        <v>1889</v>
      </c>
      <c r="E8" s="1">
        <v>2028</v>
      </c>
      <c r="F8" s="1">
        <v>2871</v>
      </c>
      <c r="G8" s="1">
        <v>2623</v>
      </c>
      <c r="H8" s="1">
        <v>3263</v>
      </c>
      <c r="I8" s="1">
        <v>3672</v>
      </c>
      <c r="J8" s="1"/>
    </row>
    <row r="9" spans="2:10" x14ac:dyDescent="0.3">
      <c r="B9" s="6" t="s">
        <v>83</v>
      </c>
      <c r="C9">
        <v>-89</v>
      </c>
      <c r="D9">
        <v>-10</v>
      </c>
      <c r="E9">
        <v>-247</v>
      </c>
      <c r="F9">
        <v>-450</v>
      </c>
      <c r="G9">
        <v>289</v>
      </c>
      <c r="H9">
        <v>-95</v>
      </c>
      <c r="I9">
        <v>-183</v>
      </c>
    </row>
    <row r="10" spans="2:10" x14ac:dyDescent="0.3">
      <c r="B10" s="6" t="s">
        <v>84</v>
      </c>
      <c r="C10" s="10">
        <v>2.8E-3</v>
      </c>
      <c r="D10" s="10">
        <v>2.8799999999999999E-2</v>
      </c>
      <c r="E10" s="10">
        <v>2.8299999999999999E-2</v>
      </c>
      <c r="F10" s="10">
        <v>2.8000000000000001E-2</v>
      </c>
      <c r="G10" s="10">
        <v>2.8400000000000002E-2</v>
      </c>
      <c r="H10" s="10">
        <v>3.2899999999999999E-2</v>
      </c>
      <c r="I10" s="10">
        <v>0</v>
      </c>
      <c r="J10" s="10"/>
    </row>
    <row r="11" spans="2:10" x14ac:dyDescent="0.3">
      <c r="B11" s="6" t="s">
        <v>85</v>
      </c>
      <c r="C11" s="10">
        <v>0.18790000000000001</v>
      </c>
      <c r="D11" s="10">
        <v>0.22770000000000001</v>
      </c>
      <c r="E11" s="10">
        <v>0.2278</v>
      </c>
      <c r="F11" s="10">
        <v>0.20830000000000001</v>
      </c>
      <c r="G11" s="10">
        <v>0.21929999999999999</v>
      </c>
      <c r="H11" s="10">
        <v>0.22020000000000001</v>
      </c>
      <c r="I11" s="10">
        <v>0.22059999999999999</v>
      </c>
      <c r="J11" s="10"/>
    </row>
    <row r="12" spans="2:10" x14ac:dyDescent="0.3">
      <c r="B12" s="6" t="s">
        <v>86</v>
      </c>
      <c r="C12" s="10">
        <v>0.2092</v>
      </c>
      <c r="D12" s="10">
        <v>0.17810000000000001</v>
      </c>
      <c r="E12" s="10">
        <v>0.192</v>
      </c>
      <c r="F12" s="10">
        <v>0.19670000000000001</v>
      </c>
      <c r="G12" s="10">
        <v>0.20200000000000001</v>
      </c>
      <c r="H12" s="10">
        <v>0.19470000000000001</v>
      </c>
      <c r="I12" s="10">
        <v>0.24640000000000001</v>
      </c>
      <c r="J12" s="10"/>
    </row>
    <row r="13" spans="2:10" x14ac:dyDescent="0.3">
      <c r="B13" s="6" t="s">
        <v>87</v>
      </c>
      <c r="C13">
        <v>586</v>
      </c>
      <c r="D13" s="1">
        <v>1438</v>
      </c>
      <c r="E13" s="1">
        <v>1649</v>
      </c>
      <c r="F13" s="1">
        <v>1991</v>
      </c>
      <c r="G13" s="1">
        <v>1902</v>
      </c>
      <c r="H13" s="1">
        <v>2538</v>
      </c>
      <c r="I13" s="1">
        <v>3018</v>
      </c>
      <c r="J13" s="1"/>
    </row>
    <row r="14" spans="2:10" x14ac:dyDescent="0.3">
      <c r="B14" s="6" t="s">
        <v>88</v>
      </c>
      <c r="C14" s="11">
        <v>0.18</v>
      </c>
      <c r="D14" s="11">
        <v>0.25</v>
      </c>
      <c r="E14" s="11">
        <v>0.27</v>
      </c>
      <c r="F14" s="11">
        <v>0.26</v>
      </c>
      <c r="G14" s="11">
        <v>0.22</v>
      </c>
      <c r="H14" s="11">
        <v>0.25</v>
      </c>
      <c r="I14" s="11">
        <v>0.25</v>
      </c>
      <c r="J14" s="11"/>
    </row>
    <row r="15" spans="2:10" x14ac:dyDescent="0.3">
      <c r="B15" s="6" t="s">
        <v>106</v>
      </c>
      <c r="C15">
        <v>76</v>
      </c>
      <c r="D15">
        <v>122</v>
      </c>
      <c r="E15">
        <v>183</v>
      </c>
      <c r="F15">
        <v>210</v>
      </c>
      <c r="G15">
        <v>141</v>
      </c>
      <c r="H15">
        <v>294</v>
      </c>
      <c r="I15">
        <v>554</v>
      </c>
    </row>
    <row r="16" spans="2:10" x14ac:dyDescent="0.3">
      <c r="B16" s="6" t="s">
        <v>89</v>
      </c>
      <c r="C16">
        <v>0</v>
      </c>
      <c r="D16">
        <v>46</v>
      </c>
      <c r="E16">
        <v>63</v>
      </c>
      <c r="F16">
        <v>87</v>
      </c>
      <c r="G16">
        <v>37</v>
      </c>
      <c r="H16">
        <v>134</v>
      </c>
      <c r="I16">
        <v>5</v>
      </c>
    </row>
    <row r="17" spans="2:10" x14ac:dyDescent="0.3">
      <c r="B17" s="6" t="s">
        <v>90</v>
      </c>
      <c r="C17">
        <v>76</v>
      </c>
      <c r="D17">
        <v>76</v>
      </c>
      <c r="E17">
        <v>120</v>
      </c>
      <c r="F17">
        <v>123</v>
      </c>
      <c r="G17">
        <v>104</v>
      </c>
      <c r="H17">
        <v>160</v>
      </c>
      <c r="I17">
        <v>549</v>
      </c>
    </row>
    <row r="18" spans="2:10" x14ac:dyDescent="0.3">
      <c r="B18" s="6" t="s">
        <v>91</v>
      </c>
      <c r="C18">
        <v>2</v>
      </c>
      <c r="D18">
        <v>23</v>
      </c>
      <c r="E18">
        <v>21</v>
      </c>
      <c r="F18">
        <v>60</v>
      </c>
      <c r="G18">
        <v>46</v>
      </c>
      <c r="H18">
        <v>35</v>
      </c>
      <c r="I18">
        <v>429</v>
      </c>
    </row>
    <row r="19" spans="2:10" x14ac:dyDescent="0.3">
      <c r="B19" s="6" t="s">
        <v>92</v>
      </c>
      <c r="C19">
        <v>39</v>
      </c>
      <c r="D19">
        <v>99</v>
      </c>
      <c r="E19">
        <v>119</v>
      </c>
      <c r="F19">
        <v>167</v>
      </c>
      <c r="G19">
        <v>326</v>
      </c>
      <c r="H19">
        <v>398</v>
      </c>
      <c r="I19">
        <v>621</v>
      </c>
    </row>
    <row r="20" spans="2:10" x14ac:dyDescent="0.3">
      <c r="B20" s="6" t="s">
        <v>93</v>
      </c>
      <c r="C20">
        <v>621</v>
      </c>
      <c r="D20" s="1">
        <v>1438</v>
      </c>
      <c r="E20" s="1">
        <v>1692</v>
      </c>
      <c r="F20" s="1">
        <v>1975</v>
      </c>
      <c r="G20" s="1">
        <v>1671</v>
      </c>
      <c r="H20" s="1">
        <v>2399</v>
      </c>
      <c r="I20" s="1">
        <v>2521</v>
      </c>
      <c r="J20" s="1"/>
    </row>
    <row r="21" spans="2:10" x14ac:dyDescent="0.3">
      <c r="B21" s="6" t="s">
        <v>94</v>
      </c>
      <c r="C21" s="11">
        <v>0.28999999999999998</v>
      </c>
      <c r="D21" s="11">
        <v>0.27</v>
      </c>
      <c r="E21" s="11">
        <v>0.24</v>
      </c>
      <c r="F21" s="11">
        <v>0.26</v>
      </c>
      <c r="G21" s="11">
        <v>0.22</v>
      </c>
      <c r="H21" s="11">
        <v>0.19</v>
      </c>
      <c r="I21" s="11">
        <v>0.2</v>
      </c>
      <c r="J21" s="11"/>
    </row>
    <row r="22" spans="2:10" x14ac:dyDescent="0.3">
      <c r="B22" s="6" t="s">
        <v>107</v>
      </c>
      <c r="C22">
        <v>445</v>
      </c>
      <c r="D22" s="1">
        <v>1056</v>
      </c>
      <c r="E22" s="1">
        <v>1293</v>
      </c>
      <c r="F22" s="1">
        <v>1453</v>
      </c>
      <c r="G22" s="1">
        <v>1310</v>
      </c>
      <c r="H22" s="1">
        <v>1942</v>
      </c>
      <c r="I22" s="1">
        <v>2011</v>
      </c>
      <c r="J22" s="1"/>
    </row>
    <row r="23" spans="2:10" x14ac:dyDescent="0.3">
      <c r="B23" s="6" t="s">
        <v>95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2:10" x14ac:dyDescent="0.3">
      <c r="B24" s="6" t="s">
        <v>96</v>
      </c>
      <c r="C24">
        <v>-6</v>
      </c>
      <c r="D24">
        <v>-26</v>
      </c>
      <c r="E24">
        <v>-28</v>
      </c>
      <c r="F24">
        <v>-19</v>
      </c>
      <c r="G24">
        <v>-28</v>
      </c>
      <c r="H24">
        <v>-29</v>
      </c>
      <c r="I24">
        <v>-20</v>
      </c>
    </row>
    <row r="25" spans="2:10" x14ac:dyDescent="0.3">
      <c r="B25" s="6" t="s">
        <v>97</v>
      </c>
      <c r="C25">
        <v>0</v>
      </c>
      <c r="D25">
        <v>33</v>
      </c>
      <c r="E25">
        <v>48</v>
      </c>
      <c r="F25">
        <v>64</v>
      </c>
      <c r="G25">
        <v>29</v>
      </c>
      <c r="H25">
        <v>106</v>
      </c>
      <c r="I25">
        <v>5</v>
      </c>
    </row>
    <row r="26" spans="2:10" x14ac:dyDescent="0.3">
      <c r="B26" s="6" t="s">
        <v>98</v>
      </c>
      <c r="C26">
        <v>445</v>
      </c>
      <c r="D26" s="1">
        <v>1023</v>
      </c>
      <c r="E26" s="1">
        <v>1245</v>
      </c>
      <c r="F26" s="1">
        <v>1389</v>
      </c>
      <c r="G26" s="1">
        <v>1281</v>
      </c>
      <c r="H26" s="1">
        <v>1835</v>
      </c>
      <c r="I26" s="1">
        <v>2007</v>
      </c>
      <c r="J26" s="1"/>
    </row>
    <row r="27" spans="2:10" x14ac:dyDescent="0.3">
      <c r="B27" s="6" t="s">
        <v>99</v>
      </c>
      <c r="C27">
        <v>439</v>
      </c>
      <c r="D27">
        <v>998</v>
      </c>
      <c r="E27" s="1">
        <v>1218</v>
      </c>
      <c r="F27" s="1">
        <v>1370</v>
      </c>
      <c r="G27" s="1">
        <v>1254</v>
      </c>
      <c r="H27" s="1">
        <v>1808</v>
      </c>
      <c r="I27" s="1">
        <v>1986</v>
      </c>
      <c r="J27" s="1"/>
    </row>
    <row r="28" spans="2:10" x14ac:dyDescent="0.3">
      <c r="B28" s="6" t="s">
        <v>100</v>
      </c>
      <c r="C28">
        <v>439</v>
      </c>
      <c r="D28" s="1">
        <v>1030</v>
      </c>
      <c r="E28" s="1">
        <v>1265</v>
      </c>
      <c r="F28" s="1">
        <v>1433</v>
      </c>
      <c r="G28" s="1">
        <v>1282</v>
      </c>
      <c r="H28" s="1">
        <v>1913</v>
      </c>
      <c r="I28" s="1">
        <v>1991</v>
      </c>
      <c r="J28" s="1"/>
    </row>
    <row r="29" spans="2:10" x14ac:dyDescent="0.3">
      <c r="B29" s="6" t="s">
        <v>101</v>
      </c>
      <c r="C29">
        <v>219.33</v>
      </c>
      <c r="D29">
        <v>25.72</v>
      </c>
      <c r="E29">
        <v>31.59</v>
      </c>
      <c r="F29">
        <v>35.78</v>
      </c>
      <c r="G29">
        <v>32</v>
      </c>
      <c r="H29">
        <v>47.75</v>
      </c>
      <c r="I29">
        <v>48.26</v>
      </c>
    </row>
    <row r="30" spans="2:10" x14ac:dyDescent="0.3">
      <c r="B30" s="6" t="s">
        <v>102</v>
      </c>
      <c r="C30" s="11">
        <v>0</v>
      </c>
      <c r="D30" s="11">
        <v>0</v>
      </c>
      <c r="E30" s="11">
        <v>0.24</v>
      </c>
      <c r="F30" s="11">
        <v>0</v>
      </c>
      <c r="G30" s="11">
        <v>0</v>
      </c>
      <c r="H30" s="11">
        <v>0</v>
      </c>
      <c r="I30" s="11">
        <v>0</v>
      </c>
      <c r="J3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workbookViewId="0">
      <selection activeCell="B4" sqref="B4"/>
    </sheetView>
  </sheetViews>
  <sheetFormatPr defaultRowHeight="14.4" x14ac:dyDescent="0.3"/>
  <cols>
    <col min="2" max="2" width="26.6640625" bestFit="1" customWidth="1"/>
    <col min="3" max="3" width="9.33203125" customWidth="1"/>
  </cols>
  <sheetData>
    <row r="3" spans="2:10" x14ac:dyDescent="0.3">
      <c r="B3" s="9"/>
      <c r="C3" s="2">
        <v>43891</v>
      </c>
      <c r="D3" s="2">
        <v>44256</v>
      </c>
      <c r="E3" s="2">
        <v>44621</v>
      </c>
      <c r="F3" s="2">
        <v>44986</v>
      </c>
      <c r="G3" s="2">
        <v>45352</v>
      </c>
      <c r="H3" s="2">
        <v>45717</v>
      </c>
      <c r="I3" s="2"/>
      <c r="J3" s="9"/>
    </row>
    <row r="4" spans="2:10" x14ac:dyDescent="0.3">
      <c r="B4" s="4" t="s">
        <v>131</v>
      </c>
      <c r="C4" s="1">
        <v>1070</v>
      </c>
      <c r="D4" s="1">
        <v>1137</v>
      </c>
      <c r="E4">
        <v>920</v>
      </c>
      <c r="F4" s="1">
        <v>1813</v>
      </c>
      <c r="G4" s="1">
        <v>2152</v>
      </c>
      <c r="H4" s="1">
        <v>2413</v>
      </c>
      <c r="I4" s="1"/>
    </row>
    <row r="5" spans="2:10" x14ac:dyDescent="0.3">
      <c r="B5" s="4" t="s">
        <v>108</v>
      </c>
      <c r="C5" s="1">
        <v>1546</v>
      </c>
      <c r="D5" s="1">
        <v>1686</v>
      </c>
      <c r="E5" s="1">
        <v>2005</v>
      </c>
      <c r="F5" s="1">
        <v>1970</v>
      </c>
      <c r="G5" s="1">
        <v>2612</v>
      </c>
      <c r="H5" s="1">
        <v>3127</v>
      </c>
      <c r="I5" s="1"/>
    </row>
    <row r="6" spans="2:10" x14ac:dyDescent="0.3">
      <c r="B6" s="4" t="s">
        <v>109</v>
      </c>
      <c r="C6">
        <v>-313</v>
      </c>
      <c r="D6">
        <v>200</v>
      </c>
      <c r="E6">
        <v>-66</v>
      </c>
      <c r="F6">
        <v>-205</v>
      </c>
      <c r="G6">
        <v>-290</v>
      </c>
      <c r="H6">
        <v>-124</v>
      </c>
    </row>
    <row r="7" spans="2:10" x14ac:dyDescent="0.3">
      <c r="B7" s="4" t="s">
        <v>110</v>
      </c>
      <c r="C7">
        <v>-78</v>
      </c>
      <c r="D7">
        <v>-284</v>
      </c>
      <c r="E7">
        <v>-577</v>
      </c>
      <c r="F7">
        <v>262</v>
      </c>
      <c r="G7">
        <v>-55</v>
      </c>
      <c r="H7">
        <v>-221</v>
      </c>
    </row>
    <row r="8" spans="2:10" x14ac:dyDescent="0.3">
      <c r="B8" s="4" t="s">
        <v>111</v>
      </c>
      <c r="C8">
        <v>183</v>
      </c>
      <c r="D8">
        <v>-78</v>
      </c>
      <c r="E8">
        <v>420</v>
      </c>
      <c r="F8">
        <v>-65</v>
      </c>
      <c r="G8">
        <v>97</v>
      </c>
      <c r="H8">
        <v>-146</v>
      </c>
    </row>
    <row r="9" spans="2:10" x14ac:dyDescent="0.3">
      <c r="B9" s="4" t="s">
        <v>112</v>
      </c>
      <c r="C9">
        <v>63</v>
      </c>
      <c r="D9">
        <v>68</v>
      </c>
      <c r="E9">
        <v>-363</v>
      </c>
      <c r="F9">
        <v>175</v>
      </c>
      <c r="G9">
        <v>268</v>
      </c>
      <c r="H9">
        <v>344</v>
      </c>
    </row>
    <row r="10" spans="2:10" x14ac:dyDescent="0.3">
      <c r="B10" s="4" t="s">
        <v>113</v>
      </c>
      <c r="C10">
        <v>-145</v>
      </c>
      <c r="D10">
        <v>-95</v>
      </c>
      <c r="E10">
        <v>-586</v>
      </c>
      <c r="F10">
        <v>167</v>
      </c>
      <c r="G10">
        <v>20</v>
      </c>
      <c r="H10">
        <v>-146</v>
      </c>
    </row>
    <row r="11" spans="2:10" x14ac:dyDescent="0.3">
      <c r="B11" s="4" t="s">
        <v>114</v>
      </c>
      <c r="C11">
        <v>-331</v>
      </c>
      <c r="D11">
        <v>-454</v>
      </c>
      <c r="E11">
        <v>-500</v>
      </c>
      <c r="F11">
        <v>-323</v>
      </c>
      <c r="G11">
        <v>-480</v>
      </c>
      <c r="H11">
        <v>-567</v>
      </c>
    </row>
    <row r="12" spans="2:10" x14ac:dyDescent="0.3">
      <c r="B12" s="4" t="s">
        <v>132</v>
      </c>
      <c r="C12">
        <v>-436</v>
      </c>
      <c r="D12" s="1">
        <v>-1222</v>
      </c>
      <c r="E12" s="1">
        <v>-1369</v>
      </c>
      <c r="F12" s="1">
        <v>-1052</v>
      </c>
      <c r="G12" s="1">
        <v>-2081</v>
      </c>
      <c r="H12" s="1">
        <v>-12683</v>
      </c>
      <c r="I12" s="1"/>
    </row>
    <row r="13" spans="2:10" x14ac:dyDescent="0.3">
      <c r="B13" s="4" t="s">
        <v>115</v>
      </c>
      <c r="C13">
        <v>-228</v>
      </c>
      <c r="D13">
        <v>-312</v>
      </c>
      <c r="E13" s="1">
        <v>-2346</v>
      </c>
      <c r="F13">
        <v>-832</v>
      </c>
      <c r="G13">
        <v>-389</v>
      </c>
      <c r="H13">
        <v>-531</v>
      </c>
    </row>
    <row r="14" spans="2:10" x14ac:dyDescent="0.3">
      <c r="B14" s="4" t="s">
        <v>116</v>
      </c>
      <c r="C14">
        <v>11</v>
      </c>
      <c r="D14">
        <v>1</v>
      </c>
      <c r="E14">
        <v>3</v>
      </c>
      <c r="F14">
        <v>6</v>
      </c>
      <c r="G14">
        <v>8</v>
      </c>
      <c r="H14">
        <v>12</v>
      </c>
    </row>
    <row r="15" spans="2:10" x14ac:dyDescent="0.3">
      <c r="B15" s="4" t="s">
        <v>117</v>
      </c>
      <c r="C15">
        <v>-572</v>
      </c>
      <c r="D15">
        <v>-996</v>
      </c>
      <c r="E15" s="1">
        <v>-1186</v>
      </c>
      <c r="F15">
        <v>-898</v>
      </c>
      <c r="G15" s="1">
        <v>-1624</v>
      </c>
      <c r="H15" s="1">
        <v>-5471</v>
      </c>
      <c r="I15" s="1"/>
    </row>
    <row r="16" spans="2:10" x14ac:dyDescent="0.3">
      <c r="B16" s="4" t="s">
        <v>118</v>
      </c>
      <c r="C16">
        <v>500</v>
      </c>
      <c r="D16">
        <v>377</v>
      </c>
      <c r="E16" s="1">
        <v>1678</v>
      </c>
      <c r="F16">
        <v>712</v>
      </c>
      <c r="G16">
        <v>545</v>
      </c>
      <c r="H16" s="1">
        <v>6213</v>
      </c>
      <c r="I16" s="1"/>
    </row>
    <row r="17" spans="2:9" x14ac:dyDescent="0.3">
      <c r="B17" s="4" t="s">
        <v>119</v>
      </c>
      <c r="C17">
        <v>13</v>
      </c>
      <c r="D17">
        <v>38</v>
      </c>
      <c r="E17">
        <v>13</v>
      </c>
      <c r="F17">
        <v>13</v>
      </c>
      <c r="G17">
        <v>40</v>
      </c>
      <c r="H17">
        <v>68</v>
      </c>
    </row>
    <row r="18" spans="2:9" x14ac:dyDescent="0.3">
      <c r="B18" s="4" t="s">
        <v>120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2:9" x14ac:dyDescent="0.3">
      <c r="B19" s="4" t="s">
        <v>121</v>
      </c>
      <c r="C19">
        <v>0</v>
      </c>
      <c r="D19">
        <v>0</v>
      </c>
      <c r="E19">
        <v>0</v>
      </c>
      <c r="F19">
        <v>-6</v>
      </c>
      <c r="G19">
        <v>0</v>
      </c>
      <c r="H19">
        <v>0</v>
      </c>
    </row>
    <row r="20" spans="2:9" x14ac:dyDescent="0.3">
      <c r="B20" s="4" t="s">
        <v>122</v>
      </c>
      <c r="C20">
        <v>5</v>
      </c>
      <c r="D20">
        <v>10</v>
      </c>
      <c r="E20">
        <v>21</v>
      </c>
      <c r="F20">
        <v>0</v>
      </c>
      <c r="G20">
        <v>7</v>
      </c>
      <c r="H20">
        <v>562</v>
      </c>
    </row>
    <row r="21" spans="2:9" x14ac:dyDescent="0.3">
      <c r="B21" s="4" t="s">
        <v>123</v>
      </c>
      <c r="C21">
        <v>0</v>
      </c>
      <c r="D21">
        <v>0</v>
      </c>
      <c r="E21">
        <v>0</v>
      </c>
      <c r="F21">
        <v>-4</v>
      </c>
      <c r="G21">
        <v>0</v>
      </c>
      <c r="H21" s="1">
        <v>-13703</v>
      </c>
      <c r="I21" s="1"/>
    </row>
    <row r="22" spans="2:9" x14ac:dyDescent="0.3">
      <c r="B22" s="4" t="s">
        <v>124</v>
      </c>
      <c r="C22">
        <v>-168</v>
      </c>
      <c r="D22">
        <v>-341</v>
      </c>
      <c r="E22">
        <v>448</v>
      </c>
      <c r="F22">
        <v>-43</v>
      </c>
      <c r="G22">
        <v>-668</v>
      </c>
      <c r="H22">
        <v>166</v>
      </c>
    </row>
    <row r="23" spans="2:9" x14ac:dyDescent="0.3">
      <c r="B23" s="4" t="s">
        <v>133</v>
      </c>
      <c r="C23">
        <v>-531</v>
      </c>
      <c r="D23">
        <v>-8</v>
      </c>
      <c r="E23">
        <v>605</v>
      </c>
      <c r="F23">
        <v>-740</v>
      </c>
      <c r="G23">
        <v>5</v>
      </c>
      <c r="H23" s="1">
        <v>10233</v>
      </c>
      <c r="I23" s="1"/>
    </row>
    <row r="24" spans="2:9" x14ac:dyDescent="0.3">
      <c r="B24" s="4" t="s">
        <v>125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2963</v>
      </c>
      <c r="I24" s="1"/>
    </row>
    <row r="25" spans="2:9" x14ac:dyDescent="0.3">
      <c r="B25" s="4" t="s">
        <v>126</v>
      </c>
      <c r="C25">
        <v>71</v>
      </c>
      <c r="D25">
        <v>579</v>
      </c>
      <c r="E25" s="1">
        <v>1278</v>
      </c>
      <c r="F25" s="1">
        <v>1099</v>
      </c>
      <c r="G25">
        <v>401</v>
      </c>
      <c r="H25" s="1">
        <v>12451</v>
      </c>
      <c r="I25" s="1"/>
    </row>
    <row r="26" spans="2:9" x14ac:dyDescent="0.3">
      <c r="B26" s="4" t="s">
        <v>127</v>
      </c>
      <c r="C26">
        <v>-215</v>
      </c>
      <c r="D26">
        <v>-468</v>
      </c>
      <c r="E26">
        <v>-654</v>
      </c>
      <c r="F26" s="1">
        <v>-1794</v>
      </c>
      <c r="G26">
        <v>-367</v>
      </c>
      <c r="H26" s="1">
        <v>-5073</v>
      </c>
      <c r="I26" s="1"/>
    </row>
    <row r="27" spans="2:9" x14ac:dyDescent="0.3">
      <c r="B27" s="4" t="s">
        <v>128</v>
      </c>
      <c r="C27">
        <v>-22</v>
      </c>
      <c r="D27">
        <v>-17</v>
      </c>
      <c r="E27">
        <v>-17</v>
      </c>
      <c r="F27">
        <v>-42</v>
      </c>
      <c r="G27">
        <v>-26</v>
      </c>
      <c r="H27">
        <v>-98</v>
      </c>
    </row>
    <row r="28" spans="2:9" x14ac:dyDescent="0.3">
      <c r="B28" s="4" t="s">
        <v>66</v>
      </c>
      <c r="C28">
        <v>-1</v>
      </c>
      <c r="D28">
        <v>-1</v>
      </c>
      <c r="E28">
        <v>-2</v>
      </c>
      <c r="F28">
        <v>-3</v>
      </c>
      <c r="G28">
        <v>-3</v>
      </c>
      <c r="H28">
        <v>-22</v>
      </c>
    </row>
    <row r="29" spans="2:9" x14ac:dyDescent="0.3">
      <c r="B29" s="4" t="s">
        <v>129</v>
      </c>
      <c r="C29">
        <v>-364</v>
      </c>
      <c r="D29">
        <v>-100</v>
      </c>
      <c r="E29">
        <v>0</v>
      </c>
      <c r="F29">
        <v>0</v>
      </c>
      <c r="G29">
        <v>0</v>
      </c>
      <c r="H29">
        <v>11</v>
      </c>
    </row>
    <row r="30" spans="2:9" x14ac:dyDescent="0.3">
      <c r="B30" s="4" t="s">
        <v>130</v>
      </c>
      <c r="C30">
        <v>103</v>
      </c>
      <c r="D30">
        <v>-92</v>
      </c>
      <c r="E30">
        <v>156</v>
      </c>
      <c r="F30">
        <v>22</v>
      </c>
      <c r="G30">
        <v>77</v>
      </c>
      <c r="H30">
        <v>-37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8"/>
  <sheetViews>
    <sheetView showGridLines="0" zoomScaleNormal="100" workbookViewId="0">
      <selection activeCell="B5" sqref="B5:H5"/>
    </sheetView>
  </sheetViews>
  <sheetFormatPr defaultRowHeight="14.4" x14ac:dyDescent="0.3"/>
  <cols>
    <col min="2" max="2" width="60.6640625" bestFit="1" customWidth="1"/>
    <col min="3" max="4" width="13.109375" bestFit="1" customWidth="1"/>
    <col min="5" max="5" width="10.44140625" customWidth="1"/>
    <col min="6" max="6" width="9.44140625" bestFit="1" customWidth="1"/>
    <col min="7" max="7" width="10" bestFit="1" customWidth="1"/>
    <col min="8" max="8" width="11" bestFit="1" customWidth="1"/>
  </cols>
  <sheetData>
    <row r="1" spans="2:10" x14ac:dyDescent="0.3">
      <c r="J1">
        <v>-1</v>
      </c>
    </row>
    <row r="4" spans="2:10" x14ac:dyDescent="0.3">
      <c r="C4" s="4"/>
      <c r="D4" s="4"/>
      <c r="E4" s="4"/>
      <c r="F4" s="4"/>
      <c r="G4" s="4"/>
      <c r="H4" s="4"/>
    </row>
    <row r="5" spans="2:10" x14ac:dyDescent="0.3">
      <c r="B5" s="26" t="s">
        <v>237</v>
      </c>
      <c r="C5" s="26">
        <v>2019</v>
      </c>
      <c r="D5" s="26">
        <f t="shared" ref="D5" si="0">C5+1</f>
        <v>2020</v>
      </c>
      <c r="E5" s="26">
        <f t="shared" ref="E5" si="1">D5+1</f>
        <v>2021</v>
      </c>
      <c r="F5" s="26">
        <f t="shared" ref="F5" si="2">E5+1</f>
        <v>2022</v>
      </c>
      <c r="G5" s="26">
        <f t="shared" ref="G5" si="3">F5+1</f>
        <v>2023</v>
      </c>
      <c r="H5" s="26">
        <f t="shared" ref="H5" si="4">G5+1</f>
        <v>2024</v>
      </c>
    </row>
    <row r="6" spans="2:10" x14ac:dyDescent="0.3">
      <c r="B6" s="17" t="s">
        <v>227</v>
      </c>
      <c r="C6" s="21">
        <v>497997.61</v>
      </c>
      <c r="D6" s="21">
        <v>587186.85</v>
      </c>
      <c r="E6" s="21">
        <v>622389.81999999995</v>
      </c>
      <c r="F6" s="21">
        <v>778155.51</v>
      </c>
      <c r="G6" s="21">
        <v>874943.3</v>
      </c>
      <c r="H6" s="21">
        <v>1033477.46</v>
      </c>
    </row>
    <row r="7" spans="2:10" x14ac:dyDescent="0.3">
      <c r="B7" s="17"/>
      <c r="C7" s="18"/>
      <c r="D7" s="18"/>
      <c r="E7" s="18"/>
      <c r="F7" s="18"/>
      <c r="G7" s="18"/>
      <c r="H7" s="18"/>
    </row>
    <row r="8" spans="2:10" x14ac:dyDescent="0.3">
      <c r="B8" s="4" t="s">
        <v>218</v>
      </c>
      <c r="C8" s="18"/>
      <c r="D8" s="18"/>
      <c r="E8" s="18"/>
      <c r="F8" s="18"/>
      <c r="G8" s="18"/>
      <c r="H8" s="18"/>
    </row>
    <row r="9" spans="2:10" ht="6.6" customHeight="1" x14ac:dyDescent="0.3">
      <c r="B9" s="4"/>
      <c r="C9" s="18"/>
      <c r="D9" s="18"/>
      <c r="E9" s="18"/>
      <c r="F9" s="18"/>
      <c r="G9" s="18"/>
      <c r="H9" s="18"/>
    </row>
    <row r="10" spans="2:10" x14ac:dyDescent="0.3">
      <c r="B10" s="4" t="s">
        <v>217</v>
      </c>
      <c r="C10" s="18"/>
      <c r="D10" s="18"/>
      <c r="E10" s="18"/>
      <c r="F10" s="18"/>
      <c r="G10" s="18"/>
      <c r="H10" s="18"/>
    </row>
    <row r="11" spans="2:10" x14ac:dyDescent="0.3">
      <c r="B11" t="s">
        <v>134</v>
      </c>
      <c r="C11" s="18">
        <v>-93227.56</v>
      </c>
      <c r="D11" s="18">
        <v>-129732.17</v>
      </c>
      <c r="E11" s="18">
        <v>-137317.89000000001</v>
      </c>
      <c r="F11" s="18">
        <v>-205756.16</v>
      </c>
      <c r="G11" s="18">
        <v>-181366.35</v>
      </c>
      <c r="H11" s="18">
        <v>-185351.59</v>
      </c>
    </row>
    <row r="12" spans="2:10" x14ac:dyDescent="0.3">
      <c r="B12" t="s">
        <v>135</v>
      </c>
      <c r="C12" s="18">
        <v>-77713.39</v>
      </c>
      <c r="D12" s="18">
        <v>-59120.53</v>
      </c>
      <c r="E12" s="18">
        <v>-65482.45</v>
      </c>
      <c r="F12" s="18">
        <v>-81375.44</v>
      </c>
      <c r="G12" s="18">
        <v>-80923.759999999995</v>
      </c>
      <c r="H12" s="18">
        <v>-140985.10999999999</v>
      </c>
    </row>
    <row r="13" spans="2:10" x14ac:dyDescent="0.3">
      <c r="B13" t="s">
        <v>83</v>
      </c>
      <c r="C13" s="18">
        <v>-1192.82</v>
      </c>
      <c r="D13" s="18">
        <v>1045.5899999999999</v>
      </c>
      <c r="E13" s="18">
        <v>24739.42</v>
      </c>
      <c r="F13" s="18">
        <v>44958.76</v>
      </c>
      <c r="G13" s="18">
        <v>-29074.09</v>
      </c>
      <c r="H13" s="18">
        <v>5367.11</v>
      </c>
    </row>
    <row r="14" spans="2:10" s="4" customFormat="1" ht="15" thickBot="1" x14ac:dyDescent="0.35">
      <c r="B14" s="24" t="s">
        <v>219</v>
      </c>
      <c r="C14" s="25">
        <f>SUM(C11:C13)</f>
        <v>-172133.77000000002</v>
      </c>
      <c r="D14" s="25">
        <f t="shared" ref="D14:H14" si="5">SUM(D11:D13)</f>
        <v>-187807.11000000002</v>
      </c>
      <c r="E14" s="25">
        <f t="shared" si="5"/>
        <v>-178060.92000000004</v>
      </c>
      <c r="F14" s="25">
        <f t="shared" si="5"/>
        <v>-242172.83999999997</v>
      </c>
      <c r="G14" s="25">
        <f t="shared" si="5"/>
        <v>-291364.2</v>
      </c>
      <c r="H14" s="25">
        <f t="shared" si="5"/>
        <v>-320969.58999999997</v>
      </c>
    </row>
    <row r="15" spans="2:10" s="4" customFormat="1" x14ac:dyDescent="0.3">
      <c r="B15" s="19"/>
      <c r="C15" s="20"/>
      <c r="D15" s="20"/>
      <c r="E15" s="20"/>
      <c r="F15" s="20"/>
      <c r="G15" s="20"/>
      <c r="H15" s="20"/>
    </row>
    <row r="16" spans="2:10" s="4" customFormat="1" x14ac:dyDescent="0.3">
      <c r="B16" s="19" t="s">
        <v>220</v>
      </c>
      <c r="C16" s="20">
        <f t="shared" ref="C16:H16" si="6">SUM(C6,C14)</f>
        <v>325863.83999999997</v>
      </c>
      <c r="D16" s="20">
        <f t="shared" si="6"/>
        <v>399379.74</v>
      </c>
      <c r="E16" s="20">
        <f t="shared" si="6"/>
        <v>444328.89999999991</v>
      </c>
      <c r="F16" s="20">
        <f t="shared" si="6"/>
        <v>535982.67000000004</v>
      </c>
      <c r="G16" s="20">
        <f t="shared" si="6"/>
        <v>583579.10000000009</v>
      </c>
      <c r="H16" s="20">
        <f>SUM(H6,H14)</f>
        <v>712507.87</v>
      </c>
    </row>
    <row r="17" spans="2:8" s="4" customFormat="1" x14ac:dyDescent="0.3">
      <c r="B17" s="19"/>
      <c r="C17" s="20"/>
      <c r="D17" s="20"/>
      <c r="E17" s="20"/>
      <c r="F17" s="20"/>
      <c r="G17" s="20"/>
      <c r="H17" s="20"/>
    </row>
    <row r="18" spans="2:8" s="4" customFormat="1" x14ac:dyDescent="0.3">
      <c r="B18" s="19" t="s">
        <v>221</v>
      </c>
      <c r="C18" s="20"/>
      <c r="D18" s="20"/>
      <c r="E18" s="20"/>
      <c r="F18" s="20"/>
      <c r="G18" s="20"/>
      <c r="H18" s="20"/>
    </row>
    <row r="19" spans="2:8" x14ac:dyDescent="0.3">
      <c r="B19" t="s">
        <v>136</v>
      </c>
      <c r="C19" s="18">
        <v>-109478.58</v>
      </c>
      <c r="D19" s="18">
        <v>-133552.66</v>
      </c>
      <c r="E19" s="18">
        <v>-141578.31</v>
      </c>
      <c r="F19" s="18">
        <v>-162059.32999999999</v>
      </c>
      <c r="G19" s="18">
        <v>-191847.15</v>
      </c>
      <c r="H19" s="18">
        <v>-227473.12</v>
      </c>
    </row>
    <row r="20" spans="2:8" x14ac:dyDescent="0.3">
      <c r="B20" t="s">
        <v>138</v>
      </c>
      <c r="C20" s="18">
        <v>-123939.13</v>
      </c>
      <c r="D20" s="18">
        <v>-112424.52</v>
      </c>
      <c r="E20" s="18">
        <v>-136993.62</v>
      </c>
      <c r="F20" s="18">
        <v>-174988.05</v>
      </c>
      <c r="G20" s="18">
        <v>-201668.29</v>
      </c>
      <c r="H20" s="18">
        <v>-231527.54</v>
      </c>
    </row>
    <row r="21" spans="2:8" ht="15" thickBot="1" x14ac:dyDescent="0.35">
      <c r="B21" s="24" t="s">
        <v>222</v>
      </c>
      <c r="C21" s="25">
        <f t="shared" ref="C21:G21" si="7">SUM(C19:C20)</f>
        <v>-233417.71000000002</v>
      </c>
      <c r="D21" s="25">
        <f t="shared" si="7"/>
        <v>-245977.18</v>
      </c>
      <c r="E21" s="25">
        <f t="shared" si="7"/>
        <v>-278571.93</v>
      </c>
      <c r="F21" s="25">
        <f t="shared" si="7"/>
        <v>-337047.38</v>
      </c>
      <c r="G21" s="25">
        <f t="shared" si="7"/>
        <v>-393515.44</v>
      </c>
      <c r="H21" s="25">
        <f>SUM(H19:H20)</f>
        <v>-459000.66000000003</v>
      </c>
    </row>
    <row r="22" spans="2:8" x14ac:dyDescent="0.3">
      <c r="C22" s="18"/>
      <c r="D22" s="18"/>
      <c r="E22" s="18"/>
      <c r="F22" s="18"/>
      <c r="G22" s="18"/>
      <c r="H22" s="18"/>
    </row>
    <row r="23" spans="2:8" x14ac:dyDescent="0.3">
      <c r="B23" s="4" t="s">
        <v>223</v>
      </c>
      <c r="C23" s="21">
        <f>C16+C21</f>
        <v>92446.129999999946</v>
      </c>
      <c r="D23" s="21">
        <f t="shared" ref="D23:H23" si="8">D16+D21</f>
        <v>153402.56</v>
      </c>
      <c r="E23" s="21">
        <f t="shared" si="8"/>
        <v>165756.96999999991</v>
      </c>
      <c r="F23" s="21">
        <f t="shared" si="8"/>
        <v>198935.29000000004</v>
      </c>
      <c r="G23" s="21">
        <f t="shared" si="8"/>
        <v>190063.66000000009</v>
      </c>
      <c r="H23" s="21">
        <f t="shared" si="8"/>
        <v>253507.20999999996</v>
      </c>
    </row>
    <row r="24" spans="2:8" x14ac:dyDescent="0.3">
      <c r="B24" s="4"/>
      <c r="C24" s="21"/>
      <c r="D24" s="21"/>
      <c r="E24" s="21"/>
      <c r="F24" s="21"/>
      <c r="G24" s="21"/>
      <c r="H24" s="21"/>
    </row>
    <row r="25" spans="2:8" x14ac:dyDescent="0.3">
      <c r="B25" t="s">
        <v>224</v>
      </c>
      <c r="C25" s="18">
        <v>-6903.44</v>
      </c>
      <c r="D25" s="18">
        <v>-9905.84</v>
      </c>
      <c r="E25" s="18">
        <v>-11897.03</v>
      </c>
      <c r="F25" s="18">
        <v>-16661.919999999998</v>
      </c>
      <c r="G25" s="18">
        <v>-32591.95</v>
      </c>
      <c r="H25" s="18">
        <v>-39825.370000000003</v>
      </c>
    </row>
    <row r="26" spans="2:8" ht="15" thickBot="1" x14ac:dyDescent="0.35">
      <c r="B26" s="24" t="s">
        <v>225</v>
      </c>
      <c r="C26" s="25">
        <f>C23+C25</f>
        <v>85542.689999999944</v>
      </c>
      <c r="D26" s="25">
        <f t="shared" ref="D26:H26" si="9">D23+D25</f>
        <v>143496.72</v>
      </c>
      <c r="E26" s="25">
        <f t="shared" si="9"/>
        <v>153859.93999999992</v>
      </c>
      <c r="F26" s="25">
        <f t="shared" si="9"/>
        <v>182273.37000000005</v>
      </c>
      <c r="G26" s="25">
        <f t="shared" si="9"/>
        <v>157471.71000000008</v>
      </c>
      <c r="H26" s="25">
        <f t="shared" si="9"/>
        <v>213681.83999999997</v>
      </c>
    </row>
    <row r="27" spans="2:8" x14ac:dyDescent="0.3">
      <c r="C27" s="18"/>
      <c r="D27" s="18"/>
      <c r="E27" s="18"/>
      <c r="F27" s="18"/>
      <c r="G27" s="18"/>
      <c r="H27" s="18"/>
    </row>
    <row r="28" spans="2:8" x14ac:dyDescent="0.3">
      <c r="C28" s="18"/>
      <c r="D28" s="18"/>
      <c r="E28" s="18"/>
      <c r="F28" s="18"/>
      <c r="G28" s="18"/>
      <c r="H28" s="18"/>
    </row>
    <row r="29" spans="2:8" x14ac:dyDescent="0.3">
      <c r="B29" t="s">
        <v>226</v>
      </c>
      <c r="C29" s="18">
        <v>-4303.24</v>
      </c>
      <c r="D29" s="18">
        <v>-2197.1799999999998</v>
      </c>
      <c r="E29" s="18">
        <v>-2014.74</v>
      </c>
      <c r="F29" s="18">
        <v>-5861.04</v>
      </c>
      <c r="G29" s="18">
        <v>-4446.8999999999996</v>
      </c>
      <c r="H29" s="18">
        <v>-3353.16</v>
      </c>
    </row>
    <row r="30" spans="2:8" x14ac:dyDescent="0.3">
      <c r="B30" s="22" t="s">
        <v>228</v>
      </c>
      <c r="C30" s="18">
        <v>5291.88</v>
      </c>
      <c r="D30" s="18">
        <v>10378.44</v>
      </c>
      <c r="E30" s="18">
        <v>16148.21</v>
      </c>
      <c r="F30" s="18">
        <v>19602.96</v>
      </c>
      <c r="G30" s="18">
        <v>12856.68</v>
      </c>
      <c r="H30" s="18">
        <v>28085.79</v>
      </c>
    </row>
    <row r="31" spans="2:8" x14ac:dyDescent="0.3">
      <c r="B31" s="22"/>
      <c r="C31" s="18"/>
      <c r="D31" s="18"/>
      <c r="E31" s="18"/>
      <c r="F31" s="18"/>
      <c r="G31" s="18"/>
      <c r="H31" s="18"/>
    </row>
    <row r="32" spans="2:8" s="4" customFormat="1" x14ac:dyDescent="0.3">
      <c r="B32" s="17" t="s">
        <v>234</v>
      </c>
      <c r="C32" s="21">
        <f>SUM(C26:C30)</f>
        <v>86531.329999999944</v>
      </c>
      <c r="D32" s="21">
        <f t="shared" ref="D32:H32" si="10">SUM(D26:D30)</f>
        <v>151677.98000000001</v>
      </c>
      <c r="E32" s="21">
        <f t="shared" si="10"/>
        <v>167993.40999999992</v>
      </c>
      <c r="F32" s="21">
        <f t="shared" si="10"/>
        <v>196015.29000000004</v>
      </c>
      <c r="G32" s="21">
        <f t="shared" si="10"/>
        <v>165881.49000000008</v>
      </c>
      <c r="H32" s="21">
        <f t="shared" si="10"/>
        <v>238414.46999999997</v>
      </c>
    </row>
    <row r="33" spans="2:12" x14ac:dyDescent="0.3">
      <c r="B33" t="s">
        <v>139</v>
      </c>
      <c r="C33" s="18">
        <v>993.8</v>
      </c>
      <c r="D33" s="18">
        <v>1153.52</v>
      </c>
      <c r="E33" s="18">
        <v>1167.71</v>
      </c>
      <c r="F33" s="18">
        <v>1444.77</v>
      </c>
      <c r="G33" s="18">
        <v>1242.42</v>
      </c>
      <c r="H33" s="18">
        <v>1521.35</v>
      </c>
    </row>
    <row r="34" spans="2:12" x14ac:dyDescent="0.3">
      <c r="C34" s="18"/>
      <c r="D34" s="18"/>
      <c r="E34" s="18"/>
      <c r="F34" s="18"/>
      <c r="G34" s="18"/>
      <c r="H34" s="18"/>
    </row>
    <row r="35" spans="2:12" x14ac:dyDescent="0.3">
      <c r="B35" s="4" t="s">
        <v>229</v>
      </c>
      <c r="C35" s="21">
        <f>C32-C33</f>
        <v>85537.529999999941</v>
      </c>
      <c r="D35" s="21">
        <f t="shared" ref="D35:H37" si="11">D32-D33</f>
        <v>150524.46000000002</v>
      </c>
      <c r="E35" s="21">
        <f t="shared" si="11"/>
        <v>166825.69999999992</v>
      </c>
      <c r="F35" s="21">
        <f t="shared" si="11"/>
        <v>194570.52000000005</v>
      </c>
      <c r="G35" s="21">
        <f t="shared" si="11"/>
        <v>164639.07000000007</v>
      </c>
      <c r="H35" s="21">
        <f t="shared" si="11"/>
        <v>236893.11999999997</v>
      </c>
    </row>
    <row r="36" spans="2:12" x14ac:dyDescent="0.3">
      <c r="B36" s="6" t="s">
        <v>235</v>
      </c>
      <c r="C36" s="23">
        <v>-26412.07</v>
      </c>
      <c r="D36" s="23">
        <v>-38159.49</v>
      </c>
      <c r="E36" s="23">
        <v>-39858.39</v>
      </c>
      <c r="F36" s="23">
        <v>-52164.35</v>
      </c>
      <c r="G36" s="23">
        <v>-36156.33</v>
      </c>
      <c r="H36" s="23">
        <v>-45758.65</v>
      </c>
    </row>
    <row r="37" spans="2:12" ht="15" thickBot="1" x14ac:dyDescent="0.35">
      <c r="B37" s="24" t="s">
        <v>236</v>
      </c>
      <c r="C37" s="25">
        <f>SUM(C35:C36)</f>
        <v>59125.459999999941</v>
      </c>
      <c r="D37" s="25">
        <f t="shared" ref="D37:H37" si="12">SUM(D35:D36)</f>
        <v>112364.97000000003</v>
      </c>
      <c r="E37" s="25">
        <f t="shared" si="12"/>
        <v>126967.30999999992</v>
      </c>
      <c r="F37" s="25">
        <f t="shared" si="12"/>
        <v>142406.17000000004</v>
      </c>
      <c r="G37" s="25">
        <f t="shared" si="12"/>
        <v>128482.74000000006</v>
      </c>
      <c r="H37" s="25">
        <f t="shared" si="12"/>
        <v>191134.46999999997</v>
      </c>
    </row>
    <row r="40" spans="2:12" s="6" customFormat="1" x14ac:dyDescent="0.3">
      <c r="B40"/>
      <c r="C40"/>
      <c r="D40"/>
      <c r="E40"/>
      <c r="F40"/>
      <c r="G40"/>
      <c r="H40"/>
      <c r="I40"/>
      <c r="J40"/>
      <c r="K40"/>
      <c r="L40"/>
    </row>
    <row r="48" spans="2:12" s="4" customFormat="1" x14ac:dyDescent="0.3">
      <c r="B48"/>
      <c r="C48"/>
      <c r="D48"/>
      <c r="E48"/>
      <c r="F48"/>
      <c r="G48"/>
      <c r="H48"/>
      <c r="I48"/>
      <c r="J48"/>
      <c r="K48"/>
      <c r="L4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7"/>
  <sheetViews>
    <sheetView showGridLines="0" tabSelected="1" topLeftCell="A16" zoomScaleNormal="100" workbookViewId="0">
      <selection activeCell="C37" sqref="C37:H37"/>
    </sheetView>
  </sheetViews>
  <sheetFormatPr defaultRowHeight="14.4" x14ac:dyDescent="0.3"/>
  <cols>
    <col min="2" max="2" width="36.109375" bestFit="1" customWidth="1"/>
    <col min="3" max="5" width="10.5546875" bestFit="1" customWidth="1"/>
    <col min="6" max="6" width="9.5546875" bestFit="1" customWidth="1"/>
    <col min="7" max="7" width="10" bestFit="1" customWidth="1"/>
    <col min="8" max="8" width="11.109375" bestFit="1" customWidth="1"/>
    <col min="9" max="9" width="10.5546875" bestFit="1" customWidth="1"/>
  </cols>
  <sheetData>
    <row r="3" spans="1:9" x14ac:dyDescent="0.3">
      <c r="C3" s="4"/>
      <c r="D3" s="4"/>
      <c r="E3" s="4"/>
      <c r="F3" s="4"/>
      <c r="G3" s="4"/>
      <c r="H3" s="4"/>
    </row>
    <row r="4" spans="1:9" x14ac:dyDescent="0.3">
      <c r="A4" s="4"/>
      <c r="B4" s="26" t="s">
        <v>237</v>
      </c>
      <c r="C4" s="26">
        <v>2019</v>
      </c>
      <c r="D4" s="26">
        <f t="shared" ref="D4:H4" si="0">C4+1</f>
        <v>2020</v>
      </c>
      <c r="E4" s="26">
        <f t="shared" si="0"/>
        <v>2021</v>
      </c>
      <c r="F4" s="26">
        <f t="shared" si="0"/>
        <v>2022</v>
      </c>
      <c r="G4" s="26">
        <f t="shared" si="0"/>
        <v>2023</v>
      </c>
      <c r="H4" s="26">
        <f t="shared" si="0"/>
        <v>2024</v>
      </c>
    </row>
    <row r="5" spans="1:9" x14ac:dyDescent="0.3">
      <c r="A5" s="4"/>
      <c r="B5" s="4" t="s">
        <v>51</v>
      </c>
    </row>
    <row r="6" spans="1:9" x14ac:dyDescent="0.3">
      <c r="A6" s="4"/>
      <c r="B6" s="4" t="s">
        <v>238</v>
      </c>
      <c r="C6" s="30">
        <f>SUM(C7:C13)</f>
        <v>195336.19</v>
      </c>
      <c r="D6" s="30">
        <f t="shared" ref="D6:H6" si="1">SUM(D7:D13)</f>
        <v>208092.97000000003</v>
      </c>
      <c r="E6" s="30">
        <f t="shared" si="1"/>
        <v>220218.15999999997</v>
      </c>
      <c r="F6" s="30">
        <f t="shared" si="1"/>
        <v>445741.58999999997</v>
      </c>
      <c r="G6" s="30">
        <f t="shared" si="1"/>
        <v>498221.11999999994</v>
      </c>
      <c r="H6" s="30">
        <f t="shared" si="1"/>
        <v>501634.45</v>
      </c>
    </row>
    <row r="7" spans="1:9" x14ac:dyDescent="0.3">
      <c r="B7" t="s">
        <v>52</v>
      </c>
      <c r="C7" s="27">
        <v>135213.38</v>
      </c>
      <c r="D7" s="27">
        <v>155134.41</v>
      </c>
      <c r="E7" s="27">
        <v>162007.07</v>
      </c>
      <c r="F7" s="27">
        <v>165236.29999999999</v>
      </c>
      <c r="G7" s="27">
        <v>240943.43</v>
      </c>
      <c r="H7" s="27">
        <v>281253.15999999997</v>
      </c>
      <c r="I7" s="7"/>
    </row>
    <row r="8" spans="1:9" x14ac:dyDescent="0.3">
      <c r="B8" t="s">
        <v>53</v>
      </c>
      <c r="C8" s="27">
        <v>32680.29</v>
      </c>
      <c r="D8" s="27">
        <v>31325.86</v>
      </c>
      <c r="E8" s="27">
        <v>37161.620000000003</v>
      </c>
      <c r="F8" s="27">
        <v>66987.34</v>
      </c>
      <c r="G8" s="27">
        <v>49319.199999999997</v>
      </c>
      <c r="H8" s="27">
        <v>20709.39</v>
      </c>
      <c r="I8" s="7"/>
    </row>
    <row r="9" spans="1:9" x14ac:dyDescent="0.3">
      <c r="B9" t="s">
        <v>54</v>
      </c>
      <c r="C9" s="28">
        <v>0</v>
      </c>
      <c r="D9" s="28">
        <v>0</v>
      </c>
      <c r="E9" s="28">
        <v>0</v>
      </c>
      <c r="F9" s="27">
        <v>6735.71</v>
      </c>
      <c r="G9" s="27">
        <v>11436.47</v>
      </c>
      <c r="H9" s="27">
        <v>11906.13</v>
      </c>
      <c r="I9" s="7"/>
    </row>
    <row r="10" spans="1:9" x14ac:dyDescent="0.3">
      <c r="B10" t="s">
        <v>239</v>
      </c>
      <c r="C10" s="28">
        <v>4732.21</v>
      </c>
      <c r="D10" s="28">
        <v>4269.4399999999996</v>
      </c>
      <c r="E10" s="28">
        <v>3887.08</v>
      </c>
      <c r="F10" s="28">
        <v>186305.74</v>
      </c>
      <c r="G10" s="28">
        <v>172148.58</v>
      </c>
      <c r="H10" s="28">
        <v>160836.22</v>
      </c>
      <c r="I10" s="7"/>
    </row>
    <row r="11" spans="1:9" x14ac:dyDescent="0.3">
      <c r="B11" t="s">
        <v>41</v>
      </c>
      <c r="C11" s="27">
        <v>1039.07</v>
      </c>
      <c r="D11" s="27">
        <v>555.82000000000005</v>
      </c>
      <c r="E11" s="27">
        <v>550.35</v>
      </c>
      <c r="F11" s="27">
        <v>542.42999999999995</v>
      </c>
      <c r="G11" s="27">
        <v>536.96</v>
      </c>
      <c r="H11" s="27">
        <v>531.49</v>
      </c>
      <c r="I11" s="7"/>
    </row>
    <row r="12" spans="1:9" x14ac:dyDescent="0.3">
      <c r="B12" t="s">
        <v>42</v>
      </c>
      <c r="C12" s="27">
        <v>107.06</v>
      </c>
      <c r="D12" s="27">
        <v>369.46</v>
      </c>
      <c r="E12" s="27">
        <v>33.36</v>
      </c>
      <c r="F12" s="27">
        <v>3159.79</v>
      </c>
      <c r="G12" s="27">
        <v>5695.36</v>
      </c>
      <c r="H12" s="27">
        <v>7469.92</v>
      </c>
      <c r="I12" s="7"/>
    </row>
    <row r="13" spans="1:9" x14ac:dyDescent="0.3">
      <c r="B13" t="s">
        <v>55</v>
      </c>
      <c r="C13" s="27">
        <v>21564.18</v>
      </c>
      <c r="D13" s="27">
        <v>16437.98</v>
      </c>
      <c r="E13" s="27">
        <v>16578.68</v>
      </c>
      <c r="F13" s="27">
        <v>16774.28</v>
      </c>
      <c r="G13" s="27">
        <v>18141.12</v>
      </c>
      <c r="H13" s="27">
        <v>18928.14</v>
      </c>
      <c r="I13" s="7"/>
    </row>
    <row r="14" spans="1:9" x14ac:dyDescent="0.3">
      <c r="C14" s="27"/>
      <c r="D14" s="27"/>
      <c r="E14" s="27"/>
      <c r="F14" s="27"/>
      <c r="G14" s="27"/>
      <c r="H14" s="27"/>
      <c r="I14" s="7"/>
    </row>
    <row r="15" spans="1:9" x14ac:dyDescent="0.3">
      <c r="B15" s="4" t="s">
        <v>43</v>
      </c>
      <c r="C15" s="27"/>
      <c r="D15" s="27"/>
      <c r="E15" s="27"/>
      <c r="F15" s="27"/>
      <c r="G15" s="27"/>
      <c r="H15" s="27"/>
      <c r="I15" s="7"/>
    </row>
    <row r="16" spans="1:9" x14ac:dyDescent="0.3">
      <c r="B16" t="s">
        <v>23</v>
      </c>
      <c r="C16" s="27">
        <v>1.75</v>
      </c>
      <c r="D16" s="27">
        <v>1.25</v>
      </c>
      <c r="E16" s="27">
        <v>4001.25</v>
      </c>
      <c r="F16" s="27">
        <v>6726.5</v>
      </c>
      <c r="G16" s="27">
        <v>8953.73</v>
      </c>
      <c r="H16" s="27">
        <v>12052.48</v>
      </c>
      <c r="I16" s="7"/>
    </row>
    <row r="17" spans="1:9" x14ac:dyDescent="0.3">
      <c r="B17" t="s">
        <v>240</v>
      </c>
      <c r="C17" s="27">
        <v>7.2</v>
      </c>
      <c r="D17" s="27">
        <v>9.93</v>
      </c>
      <c r="E17" s="27">
        <v>7.43</v>
      </c>
      <c r="F17" s="27">
        <v>2.88</v>
      </c>
      <c r="G17" s="27">
        <v>0</v>
      </c>
      <c r="H17" s="27">
        <v>0</v>
      </c>
      <c r="I17" s="7"/>
    </row>
    <row r="18" spans="1:9" x14ac:dyDescent="0.3">
      <c r="B18" t="s">
        <v>241</v>
      </c>
      <c r="C18" s="27">
        <v>2694.63</v>
      </c>
      <c r="D18" s="27">
        <v>3092.99</v>
      </c>
      <c r="E18" s="27">
        <v>2242.87</v>
      </c>
      <c r="F18" s="27">
        <v>2292.65</v>
      </c>
      <c r="G18" s="27">
        <v>11018.14</v>
      </c>
      <c r="H18" s="27">
        <v>2949.57</v>
      </c>
      <c r="I18" s="7"/>
    </row>
    <row r="19" spans="1:9" x14ac:dyDescent="0.3">
      <c r="C19" s="27"/>
      <c r="D19" s="27"/>
      <c r="E19" s="27"/>
      <c r="F19" s="27"/>
      <c r="G19" s="27"/>
      <c r="H19" s="27"/>
      <c r="I19" s="7"/>
    </row>
    <row r="20" spans="1:9" x14ac:dyDescent="0.3">
      <c r="B20" s="4" t="s">
        <v>46</v>
      </c>
      <c r="C20" s="29">
        <v>3551.11</v>
      </c>
      <c r="D20" s="29">
        <v>3664.62</v>
      </c>
      <c r="E20" s="29">
        <v>9667.66</v>
      </c>
      <c r="F20" s="29">
        <v>7418.43</v>
      </c>
      <c r="G20" s="29">
        <v>7335.5</v>
      </c>
      <c r="H20" s="29">
        <v>6628.11</v>
      </c>
      <c r="I20" s="7"/>
    </row>
    <row r="21" spans="1:9" x14ac:dyDescent="0.3">
      <c r="B21" t="s">
        <v>44</v>
      </c>
      <c r="C21" s="27">
        <v>6950.53</v>
      </c>
      <c r="D21" s="27">
        <v>5451.16</v>
      </c>
      <c r="E21" s="27">
        <v>5560.56</v>
      </c>
      <c r="F21" s="27">
        <v>7982.42</v>
      </c>
      <c r="G21" s="27">
        <v>10251.530000000001</v>
      </c>
      <c r="H21" s="27">
        <v>8198.39</v>
      </c>
      <c r="I21" s="7"/>
    </row>
    <row r="22" spans="1:9" x14ac:dyDescent="0.3">
      <c r="B22" t="s">
        <v>45</v>
      </c>
      <c r="C22" s="27">
        <v>2889.47</v>
      </c>
      <c r="D22" s="27">
        <v>4793.16</v>
      </c>
      <c r="E22" s="27">
        <v>4901.1000000000004</v>
      </c>
      <c r="F22" s="27">
        <v>3928.62</v>
      </c>
      <c r="G22" s="27">
        <v>2977.69</v>
      </c>
      <c r="H22" s="27">
        <v>8039.75</v>
      </c>
      <c r="I22" s="7"/>
    </row>
    <row r="23" spans="1:9" ht="15" thickBot="1" x14ac:dyDescent="0.35">
      <c r="B23" s="24" t="s">
        <v>47</v>
      </c>
      <c r="C23" s="31">
        <v>211430.88</v>
      </c>
      <c r="D23" s="31">
        <v>225106.08000000002</v>
      </c>
      <c r="E23" s="31">
        <v>246599.02999999997</v>
      </c>
      <c r="F23" s="31">
        <v>474093.08999999997</v>
      </c>
      <c r="G23" s="31">
        <v>538757.71</v>
      </c>
      <c r="H23" s="31">
        <v>539502.75</v>
      </c>
      <c r="I23" s="8"/>
    </row>
    <row r="24" spans="1:9" x14ac:dyDescent="0.3">
      <c r="B24" s="4"/>
      <c r="C24" s="30"/>
      <c r="D24" s="30"/>
      <c r="E24" s="30"/>
      <c r="F24" s="30"/>
      <c r="G24" s="30"/>
      <c r="H24" s="30"/>
      <c r="I24" s="8"/>
    </row>
    <row r="25" spans="1:9" x14ac:dyDescent="0.3">
      <c r="A25" s="4"/>
      <c r="B25" s="4" t="s">
        <v>56</v>
      </c>
      <c r="C25" s="27"/>
      <c r="D25" s="27"/>
      <c r="E25" s="27"/>
      <c r="F25" s="27"/>
      <c r="G25" s="27"/>
      <c r="H25" s="27"/>
      <c r="I25" s="7"/>
    </row>
    <row r="26" spans="1:9" x14ac:dyDescent="0.3">
      <c r="B26" t="s">
        <v>24</v>
      </c>
      <c r="C26" s="27">
        <v>82098.53</v>
      </c>
      <c r="D26" s="27">
        <v>89913.45</v>
      </c>
      <c r="E26" s="27">
        <v>118353.77</v>
      </c>
      <c r="F26" s="27">
        <v>176023.81</v>
      </c>
      <c r="G26" s="27">
        <v>149845.82</v>
      </c>
      <c r="H26" s="27">
        <v>155346.12</v>
      </c>
      <c r="I26" s="7"/>
    </row>
    <row r="27" spans="1:9" x14ac:dyDescent="0.3">
      <c r="B27" s="22" t="s">
        <v>25</v>
      </c>
      <c r="C27" s="27">
        <v>22021.88</v>
      </c>
      <c r="D27" s="27">
        <v>53109.2</v>
      </c>
      <c r="E27" s="27">
        <v>33061.129999999997</v>
      </c>
      <c r="F27" s="27">
        <v>38816.6</v>
      </c>
      <c r="G27" s="27">
        <v>57642.14</v>
      </c>
      <c r="H27" s="27">
        <v>84828.12</v>
      </c>
      <c r="I27" s="7"/>
    </row>
    <row r="28" spans="1:9" x14ac:dyDescent="0.3">
      <c r="B28" s="33" t="s">
        <v>48</v>
      </c>
      <c r="C28" s="29">
        <f>SUM(C29:C32)</f>
        <v>27263.289999999997</v>
      </c>
      <c r="D28" s="29">
        <f t="shared" ref="D28:H28" si="2">SUM(D29:D32)</f>
        <v>30707.629999999997</v>
      </c>
      <c r="E28" s="29">
        <f t="shared" si="2"/>
        <v>38556.99</v>
      </c>
      <c r="F28" s="29">
        <f t="shared" si="2"/>
        <v>97801.09</v>
      </c>
      <c r="G28" s="29">
        <f t="shared" si="2"/>
        <v>72431.97</v>
      </c>
      <c r="H28" s="29">
        <f t="shared" si="2"/>
        <v>71040.12</v>
      </c>
      <c r="I28" s="7"/>
    </row>
    <row r="29" spans="1:9" x14ac:dyDescent="0.3">
      <c r="B29" s="32" t="s">
        <v>240</v>
      </c>
      <c r="C29" s="27">
        <v>3162.02</v>
      </c>
      <c r="D29" s="27">
        <v>3449.79</v>
      </c>
      <c r="E29" s="27">
        <v>1841.14</v>
      </c>
      <c r="F29" s="27">
        <v>119.44</v>
      </c>
      <c r="G29" s="27">
        <v>163.26</v>
      </c>
      <c r="H29" s="27">
        <v>286.2</v>
      </c>
      <c r="I29" s="7"/>
    </row>
    <row r="30" spans="1:9" x14ac:dyDescent="0.3">
      <c r="B30" s="32" t="s">
        <v>241</v>
      </c>
      <c r="C30" s="27">
        <v>366.43</v>
      </c>
      <c r="D30" s="27">
        <v>448.69</v>
      </c>
      <c r="E30" s="27">
        <v>999.12</v>
      </c>
      <c r="F30" s="27">
        <v>1393.71</v>
      </c>
      <c r="G30" s="27">
        <v>5597.97</v>
      </c>
      <c r="H30" s="27">
        <v>1316.04</v>
      </c>
      <c r="I30" s="7"/>
    </row>
    <row r="31" spans="1:9" x14ac:dyDescent="0.3">
      <c r="B31" s="32" t="s">
        <v>49</v>
      </c>
      <c r="C31" s="27">
        <v>5496.58</v>
      </c>
      <c r="D31" s="27">
        <v>271.05</v>
      </c>
      <c r="E31" s="27">
        <v>270.2</v>
      </c>
      <c r="F31" s="27">
        <v>298.16000000000003</v>
      </c>
      <c r="G31" s="27">
        <v>331.56</v>
      </c>
      <c r="H31" s="27">
        <v>270.2</v>
      </c>
      <c r="I31" s="7"/>
    </row>
    <row r="32" spans="1:9" x14ac:dyDescent="0.3">
      <c r="B32" s="32" t="s">
        <v>48</v>
      </c>
      <c r="C32" s="27">
        <v>18238.259999999998</v>
      </c>
      <c r="D32" s="27">
        <v>26538.1</v>
      </c>
      <c r="E32" s="27">
        <v>35446.53</v>
      </c>
      <c r="F32" s="27">
        <v>95989.78</v>
      </c>
      <c r="G32" s="27">
        <v>66339.179999999993</v>
      </c>
      <c r="H32" s="27">
        <v>69167.679999999993</v>
      </c>
      <c r="I32" s="7"/>
    </row>
    <row r="33" spans="1:9" x14ac:dyDescent="0.3">
      <c r="B33" s="22" t="s">
        <v>243</v>
      </c>
      <c r="C33" s="27">
        <v>11639.03</v>
      </c>
      <c r="D33" s="27">
        <v>22607.53</v>
      </c>
      <c r="E33" s="27">
        <v>16718.2</v>
      </c>
      <c r="F33" s="27">
        <v>30253.47</v>
      </c>
      <c r="G33" s="27">
        <v>30482.07</v>
      </c>
      <c r="H33" s="27">
        <v>38200.75</v>
      </c>
      <c r="I33" s="7"/>
    </row>
    <row r="34" spans="1:9" x14ac:dyDescent="0.3">
      <c r="B34" s="22" t="s">
        <v>242</v>
      </c>
      <c r="C34" s="27">
        <v>2462.11</v>
      </c>
      <c r="D34" s="27">
        <v>19380.2</v>
      </c>
      <c r="E34" s="27">
        <v>53355.98</v>
      </c>
      <c r="F34" s="27">
        <v>10340.68</v>
      </c>
      <c r="G34" s="27">
        <v>14837.79</v>
      </c>
      <c r="H34" s="27">
        <v>81596.37</v>
      </c>
      <c r="I34" s="7"/>
    </row>
    <row r="35" spans="1:9" ht="15" thickBot="1" x14ac:dyDescent="0.35">
      <c r="B35" s="24" t="s">
        <v>50</v>
      </c>
      <c r="C35" s="31">
        <f>SUM(C26:C28,C33,C34)</f>
        <v>145484.84</v>
      </c>
      <c r="D35" s="31">
        <f t="shared" ref="D35:H35" si="3">SUM(D26:D28,D33,D34)</f>
        <v>215718.01</v>
      </c>
      <c r="E35" s="31">
        <f t="shared" si="3"/>
        <v>260046.07</v>
      </c>
      <c r="F35" s="31">
        <f t="shared" si="3"/>
        <v>353235.64999999997</v>
      </c>
      <c r="G35" s="31">
        <f t="shared" si="3"/>
        <v>325239.79000000004</v>
      </c>
      <c r="H35" s="31">
        <f t="shared" si="3"/>
        <v>431011.48</v>
      </c>
      <c r="I35" s="8"/>
    </row>
    <row r="36" spans="1:9" x14ac:dyDescent="0.3">
      <c r="B36" s="34"/>
      <c r="C36" s="35"/>
      <c r="D36" s="35"/>
      <c r="E36" s="35"/>
      <c r="F36" s="35"/>
      <c r="G36" s="35"/>
      <c r="H36" s="35"/>
      <c r="I36" s="8"/>
    </row>
    <row r="37" spans="1:9" x14ac:dyDescent="0.3">
      <c r="B37" s="34" t="s">
        <v>29</v>
      </c>
      <c r="C37" s="35">
        <f>SUM(C35,C23)</f>
        <v>356915.72</v>
      </c>
      <c r="D37" s="35">
        <f t="shared" ref="D37:H37" si="4">SUM(D35,D23)</f>
        <v>440824.09</v>
      </c>
      <c r="E37" s="35">
        <f t="shared" si="4"/>
        <v>506645.1</v>
      </c>
      <c r="F37" s="35">
        <f t="shared" si="4"/>
        <v>827328.74</v>
      </c>
      <c r="G37" s="35">
        <f t="shared" si="4"/>
        <v>863997.5</v>
      </c>
      <c r="H37" s="35">
        <f t="shared" si="4"/>
        <v>970514.23</v>
      </c>
      <c r="I37" s="8"/>
    </row>
    <row r="38" spans="1:9" x14ac:dyDescent="0.3">
      <c r="C38" s="27"/>
      <c r="D38" s="27"/>
      <c r="E38" s="27"/>
      <c r="F38" s="27"/>
      <c r="G38" s="27"/>
      <c r="H38" s="27"/>
      <c r="I38" s="7"/>
    </row>
    <row r="39" spans="1:9" x14ac:dyDescent="0.3">
      <c r="A39" s="4" t="s">
        <v>57</v>
      </c>
      <c r="C39" s="27"/>
      <c r="D39" s="27"/>
      <c r="E39" s="27"/>
      <c r="F39" s="27"/>
      <c r="G39" s="27"/>
      <c r="H39" s="27"/>
      <c r="I39" s="7"/>
    </row>
    <row r="40" spans="1:9" x14ac:dyDescent="0.3">
      <c r="A40" s="4" t="s">
        <v>58</v>
      </c>
      <c r="C40" s="27"/>
      <c r="D40" s="27"/>
      <c r="E40" s="27"/>
      <c r="F40" s="27"/>
      <c r="G40" s="27"/>
      <c r="H40" s="27"/>
      <c r="I40" s="7"/>
    </row>
    <row r="41" spans="1:9" x14ac:dyDescent="0.3">
      <c r="B41" t="s">
        <v>59</v>
      </c>
      <c r="C41" s="27">
        <v>4005.88</v>
      </c>
      <c r="D41" s="27">
        <v>4005.88</v>
      </c>
      <c r="E41" s="27">
        <v>4005.88</v>
      </c>
      <c r="F41" s="27">
        <v>4005.88</v>
      </c>
      <c r="G41" s="27">
        <v>4005.88</v>
      </c>
      <c r="H41" s="27">
        <v>4005.88</v>
      </c>
      <c r="I41" s="7"/>
    </row>
    <row r="42" spans="1:9" x14ac:dyDescent="0.3">
      <c r="B42" t="s">
        <v>60</v>
      </c>
      <c r="C42" s="27">
        <v>278299.13</v>
      </c>
      <c r="D42" s="27">
        <v>344525.14</v>
      </c>
      <c r="E42" s="27">
        <v>468194.5</v>
      </c>
      <c r="F42" s="27">
        <v>611517.32999999996</v>
      </c>
      <c r="G42" s="27">
        <v>739516.4</v>
      </c>
      <c r="H42" s="27">
        <v>932302.93</v>
      </c>
      <c r="I42" s="7"/>
    </row>
    <row r="43" spans="1:9" x14ac:dyDescent="0.3">
      <c r="B43" s="4" t="s">
        <v>61</v>
      </c>
      <c r="C43" s="30">
        <v>282305.01</v>
      </c>
      <c r="D43" s="30">
        <v>348531.02</v>
      </c>
      <c r="E43" s="30">
        <v>472200.38</v>
      </c>
      <c r="F43" s="30">
        <v>615523.21</v>
      </c>
      <c r="G43" s="30">
        <v>743522.28</v>
      </c>
      <c r="H43" s="30">
        <v>936308.81</v>
      </c>
      <c r="I43" s="8"/>
    </row>
    <row r="44" spans="1:9" x14ac:dyDescent="0.3">
      <c r="B44" t="s">
        <v>62</v>
      </c>
      <c r="C44" s="27">
        <v>15862.26</v>
      </c>
      <c r="D44" s="27">
        <v>18626.11</v>
      </c>
      <c r="E44" s="27">
        <v>14088.74</v>
      </c>
      <c r="F44" s="27">
        <v>16107.99</v>
      </c>
      <c r="G44" s="27">
        <v>18807.009999999998</v>
      </c>
      <c r="H44" s="27">
        <v>21270</v>
      </c>
      <c r="I44" s="7"/>
    </row>
    <row r="45" spans="1:9" x14ac:dyDescent="0.3">
      <c r="B45" s="4" t="s">
        <v>63</v>
      </c>
      <c r="C45" s="30">
        <v>298167.27</v>
      </c>
      <c r="D45" s="30">
        <v>367157.13</v>
      </c>
      <c r="E45" s="30">
        <v>486289.12</v>
      </c>
      <c r="F45" s="30">
        <v>631631.19999999995</v>
      </c>
      <c r="G45" s="30">
        <v>762329.29</v>
      </c>
      <c r="H45" s="30">
        <v>957578.81</v>
      </c>
      <c r="I45" s="8"/>
    </row>
    <row r="46" spans="1:9" x14ac:dyDescent="0.3">
      <c r="A46" s="4" t="s">
        <v>64</v>
      </c>
      <c r="C46" s="27"/>
      <c r="D46" s="27"/>
      <c r="E46" s="27"/>
      <c r="F46" s="27"/>
      <c r="G46" s="27"/>
      <c r="H46" s="27"/>
      <c r="I46" s="7"/>
    </row>
    <row r="47" spans="1:9" x14ac:dyDescent="0.3">
      <c r="B47" s="4" t="s">
        <v>65</v>
      </c>
      <c r="C47" s="30"/>
      <c r="D47" s="30"/>
      <c r="E47" s="30"/>
      <c r="F47" s="27"/>
      <c r="G47" s="27"/>
      <c r="H47" s="27"/>
      <c r="I47" s="7"/>
    </row>
    <row r="48" spans="1:9" x14ac:dyDescent="0.3">
      <c r="B48" t="s">
        <v>66</v>
      </c>
      <c r="C48" s="27"/>
      <c r="D48" s="27"/>
      <c r="E48" s="27"/>
      <c r="F48" s="27"/>
      <c r="G48" s="27"/>
      <c r="H48" s="27"/>
      <c r="I48" s="7"/>
    </row>
    <row r="49" spans="2:9" x14ac:dyDescent="0.3">
      <c r="B49" s="6" t="s">
        <v>67</v>
      </c>
      <c r="C49" s="29">
        <v>2511.19</v>
      </c>
      <c r="D49" s="29">
        <v>5819.27</v>
      </c>
      <c r="E49" s="29">
        <v>5741.99</v>
      </c>
      <c r="F49" s="27">
        <v>4919.3999999999996</v>
      </c>
      <c r="G49" s="27">
        <v>2314.65</v>
      </c>
      <c r="H49" s="27">
        <v>2486.77</v>
      </c>
      <c r="I49" s="7"/>
    </row>
    <row r="50" spans="2:9" x14ac:dyDescent="0.3">
      <c r="B50" s="6" t="s">
        <v>68</v>
      </c>
      <c r="C50" s="29">
        <v>100</v>
      </c>
      <c r="D50" s="29">
        <v>382.82</v>
      </c>
      <c r="E50" s="29">
        <v>551.04999999999995</v>
      </c>
      <c r="F50" s="27">
        <v>299</v>
      </c>
      <c r="G50" s="27">
        <v>517.79999999999995</v>
      </c>
      <c r="H50" s="27">
        <v>771.38</v>
      </c>
      <c r="I50" s="7"/>
    </row>
    <row r="51" spans="2:9" x14ac:dyDescent="0.3">
      <c r="B51" s="6" t="s">
        <v>69</v>
      </c>
      <c r="C51" s="29">
        <v>4491.6099999999997</v>
      </c>
      <c r="D51" s="29">
        <v>6300.49</v>
      </c>
      <c r="E51" s="29">
        <v>7224.43</v>
      </c>
      <c r="F51" s="27">
        <v>8000.43</v>
      </c>
      <c r="G51" s="27">
        <v>9788.8799999999992</v>
      </c>
      <c r="H51" s="27">
        <v>12312.46</v>
      </c>
      <c r="I51" s="7"/>
    </row>
    <row r="52" spans="2:9" x14ac:dyDescent="0.3">
      <c r="B52" s="6" t="s">
        <v>70</v>
      </c>
      <c r="C52" s="29">
        <v>2232.58</v>
      </c>
      <c r="D52" s="29">
        <v>816.65</v>
      </c>
      <c r="E52" s="29">
        <v>1303.19</v>
      </c>
      <c r="F52" s="27">
        <v>5562.06</v>
      </c>
      <c r="G52" s="27">
        <v>7731.21</v>
      </c>
      <c r="H52" s="27">
        <v>8906.92</v>
      </c>
      <c r="I52" s="7"/>
    </row>
    <row r="53" spans="2:9" x14ac:dyDescent="0.3">
      <c r="B53" s="6" t="s">
        <v>71</v>
      </c>
      <c r="C53" s="29">
        <v>1333.55</v>
      </c>
      <c r="D53" s="29">
        <v>1778.73</v>
      </c>
      <c r="E53" s="29">
        <v>788.69</v>
      </c>
      <c r="F53" s="27">
        <v>2015.42</v>
      </c>
      <c r="G53" s="27">
        <v>2549.46</v>
      </c>
      <c r="H53" s="27">
        <v>2296.15</v>
      </c>
      <c r="I53" s="7"/>
    </row>
    <row r="54" spans="2:9" x14ac:dyDescent="0.3">
      <c r="B54" s="4" t="s">
        <v>72</v>
      </c>
      <c r="C54" s="30">
        <v>10668.929999999998</v>
      </c>
      <c r="D54" s="30">
        <v>15097.96</v>
      </c>
      <c r="E54" s="30">
        <v>15609.350000000002</v>
      </c>
      <c r="F54" s="30">
        <v>20796.309999999998</v>
      </c>
      <c r="G54" s="30">
        <v>22901.999999999996</v>
      </c>
      <c r="H54" s="30">
        <v>26773.68</v>
      </c>
      <c r="I54" s="8"/>
    </row>
    <row r="55" spans="2:9" x14ac:dyDescent="0.3">
      <c r="C55" s="27"/>
      <c r="D55" s="27"/>
      <c r="E55" s="27"/>
      <c r="F55" s="27"/>
      <c r="G55" s="27"/>
      <c r="H55" s="27"/>
      <c r="I55" s="7"/>
    </row>
    <row r="56" spans="2:9" x14ac:dyDescent="0.3">
      <c r="B56" s="4" t="s">
        <v>73</v>
      </c>
      <c r="C56" s="30"/>
      <c r="D56" s="30"/>
      <c r="E56" s="30"/>
      <c r="F56" s="27"/>
      <c r="G56" s="27"/>
      <c r="H56" s="27"/>
      <c r="I56" s="7"/>
    </row>
    <row r="57" spans="2:9" x14ac:dyDescent="0.3">
      <c r="B57" t="s">
        <v>74</v>
      </c>
      <c r="C57" s="27"/>
      <c r="D57" s="27"/>
      <c r="E57" s="27"/>
      <c r="F57" s="27"/>
      <c r="G57" s="27"/>
      <c r="H57" s="27"/>
      <c r="I57" s="7"/>
    </row>
    <row r="58" spans="2:9" x14ac:dyDescent="0.3">
      <c r="B58" s="6" t="s">
        <v>67</v>
      </c>
      <c r="C58" s="29">
        <v>24146.41</v>
      </c>
      <c r="D58" s="29">
        <v>4428.0200000000004</v>
      </c>
      <c r="E58" s="29">
        <v>15860.39</v>
      </c>
      <c r="F58" s="27">
        <v>81883.320000000007</v>
      </c>
      <c r="G58" s="27">
        <v>13948.99</v>
      </c>
      <c r="H58" s="27">
        <v>17116.810000000001</v>
      </c>
      <c r="I58" s="7"/>
    </row>
    <row r="59" spans="2:9" x14ac:dyDescent="0.3">
      <c r="B59" t="s">
        <v>68</v>
      </c>
      <c r="C59" s="27">
        <v>0</v>
      </c>
      <c r="D59" s="27">
        <v>0</v>
      </c>
      <c r="E59" s="27">
        <v>0</v>
      </c>
      <c r="F59" s="27">
        <v>205.72</v>
      </c>
      <c r="G59" s="27">
        <v>255.65</v>
      </c>
      <c r="H59" s="27">
        <v>342.28</v>
      </c>
      <c r="I59" s="7"/>
    </row>
    <row r="60" spans="2:9" x14ac:dyDescent="0.3">
      <c r="B60" t="s">
        <v>75</v>
      </c>
      <c r="C60" s="27">
        <v>56196.9</v>
      </c>
      <c r="D60" s="27">
        <v>74511.010000000009</v>
      </c>
      <c r="E60" s="27">
        <v>66695.94</v>
      </c>
      <c r="F60" s="27">
        <v>107639.72</v>
      </c>
      <c r="G60" s="27">
        <v>100817.69</v>
      </c>
      <c r="H60" s="27">
        <v>110299.08</v>
      </c>
      <c r="I60" s="7"/>
    </row>
    <row r="61" spans="2:9" x14ac:dyDescent="0.3">
      <c r="B61" t="s">
        <v>76</v>
      </c>
      <c r="C61" s="27">
        <v>6992.28</v>
      </c>
      <c r="D61" s="27">
        <v>12058.57</v>
      </c>
      <c r="E61" s="27">
        <v>18358.689999999999</v>
      </c>
      <c r="F61" s="27">
        <v>22148.9</v>
      </c>
      <c r="G61" s="27">
        <v>23649.18</v>
      </c>
      <c r="H61" s="27">
        <v>23554.91</v>
      </c>
      <c r="I61" s="7"/>
    </row>
    <row r="62" spans="2:9" x14ac:dyDescent="0.3">
      <c r="B62" t="s">
        <v>69</v>
      </c>
      <c r="C62" s="27">
        <v>10301.94</v>
      </c>
      <c r="D62" s="27">
        <v>21567.040000000001</v>
      </c>
      <c r="E62" s="27">
        <v>23421.85</v>
      </c>
      <c r="F62" s="27">
        <v>26450.26</v>
      </c>
      <c r="G62" s="27">
        <v>30763.040000000001</v>
      </c>
      <c r="H62" s="27">
        <v>38930.720000000001</v>
      </c>
      <c r="I62" s="7"/>
    </row>
    <row r="63" spans="2:9" x14ac:dyDescent="0.3">
      <c r="B63" t="s">
        <v>77</v>
      </c>
      <c r="C63" s="27">
        <v>107.59</v>
      </c>
      <c r="D63" s="27">
        <v>6562.24</v>
      </c>
      <c r="E63" s="27">
        <v>1108.47</v>
      </c>
      <c r="F63" s="27">
        <v>1508.96</v>
      </c>
      <c r="G63" s="27">
        <v>4625.55</v>
      </c>
      <c r="H63" s="27">
        <v>4637.87</v>
      </c>
      <c r="I63" s="7"/>
    </row>
    <row r="64" spans="2:9" x14ac:dyDescent="0.3">
      <c r="B64" t="s">
        <v>78</v>
      </c>
      <c r="C64" s="27">
        <v>4661.0600000000004</v>
      </c>
      <c r="D64" s="27">
        <v>5946.09</v>
      </c>
      <c r="E64" s="27">
        <v>9918.7000000000007</v>
      </c>
      <c r="F64" s="27">
        <v>22509.53</v>
      </c>
      <c r="G64" s="27">
        <v>12253.52</v>
      </c>
      <c r="H64" s="27">
        <v>17091.310000000001</v>
      </c>
      <c r="I64" s="7"/>
    </row>
    <row r="65" spans="2:9" x14ac:dyDescent="0.3">
      <c r="B65" s="4" t="s">
        <v>79</v>
      </c>
      <c r="C65" s="30">
        <v>102406.18</v>
      </c>
      <c r="D65" s="30">
        <v>125072.97000000002</v>
      </c>
      <c r="E65" s="30">
        <v>135364.04</v>
      </c>
      <c r="F65" s="30">
        <v>262346.41000000003</v>
      </c>
      <c r="G65" s="30">
        <v>186313.62</v>
      </c>
      <c r="H65" s="30">
        <v>211972.97999999998</v>
      </c>
      <c r="I65" s="8"/>
    </row>
    <row r="66" spans="2:9" x14ac:dyDescent="0.3">
      <c r="B66" s="4" t="s">
        <v>10</v>
      </c>
      <c r="C66" s="30">
        <v>113075.10999999999</v>
      </c>
      <c r="D66" s="30">
        <v>140170.93000000002</v>
      </c>
      <c r="E66" s="30">
        <v>150973.39000000001</v>
      </c>
      <c r="F66" s="30">
        <v>283142.72000000003</v>
      </c>
      <c r="G66" s="30">
        <v>209215.62</v>
      </c>
      <c r="H66" s="30">
        <v>238746.65999999997</v>
      </c>
      <c r="I66" s="8"/>
    </row>
    <row r="67" spans="2:9" x14ac:dyDescent="0.3">
      <c r="B67" s="4" t="s">
        <v>80</v>
      </c>
      <c r="C67" s="30">
        <v>411242.38</v>
      </c>
      <c r="D67" s="30">
        <v>507328.06000000006</v>
      </c>
      <c r="E67" s="30">
        <v>637262.51</v>
      </c>
      <c r="F67" s="30">
        <v>914773.91999999993</v>
      </c>
      <c r="G67" s="30">
        <v>971544.91</v>
      </c>
      <c r="H67" s="30">
        <v>1196325.47</v>
      </c>
      <c r="I6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8"/>
  <sheetViews>
    <sheetView zoomScaleNormal="100" workbookViewId="0">
      <pane ySplit="4" topLeftCell="A9" activePane="bottomLeft" state="frozen"/>
      <selection pane="bottomLeft" activeCell="C9" sqref="C9"/>
    </sheetView>
  </sheetViews>
  <sheetFormatPr defaultRowHeight="14.4" x14ac:dyDescent="0.3"/>
  <cols>
    <col min="2" max="2" width="68.88671875" customWidth="1"/>
    <col min="3" max="3" width="9.33203125" bestFit="1" customWidth="1"/>
    <col min="4" max="6" width="10.44140625" bestFit="1" customWidth="1"/>
    <col min="7" max="7" width="11" bestFit="1" customWidth="1"/>
    <col min="8" max="8" width="10.44140625" bestFit="1" customWidth="1"/>
  </cols>
  <sheetData>
    <row r="3" spans="1:8" x14ac:dyDescent="0.3">
      <c r="B3" s="4"/>
    </row>
    <row r="4" spans="1:8" x14ac:dyDescent="0.3">
      <c r="C4" s="4">
        <v>2019</v>
      </c>
      <c r="D4" s="4">
        <f t="shared" ref="D4:H4" si="0">C4+1</f>
        <v>2020</v>
      </c>
      <c r="E4" s="4">
        <f t="shared" si="0"/>
        <v>2021</v>
      </c>
      <c r="F4" s="4">
        <f t="shared" si="0"/>
        <v>2022</v>
      </c>
      <c r="G4" s="4">
        <f t="shared" si="0"/>
        <v>2023</v>
      </c>
      <c r="H4" s="4">
        <f t="shared" si="0"/>
        <v>2024</v>
      </c>
    </row>
    <row r="5" spans="1:8" x14ac:dyDescent="0.3">
      <c r="A5" s="4">
        <v>1</v>
      </c>
      <c r="B5" s="4" t="s">
        <v>140</v>
      </c>
    </row>
    <row r="6" spans="1:8" x14ac:dyDescent="0.3">
      <c r="B6" s="4" t="s">
        <v>141</v>
      </c>
      <c r="C6" s="4">
        <f>'Profit&amp;Loss'!C40</f>
        <v>0</v>
      </c>
      <c r="D6" s="4">
        <f>'Profit&amp;Loss'!D40</f>
        <v>0</v>
      </c>
      <c r="E6" s="4">
        <f>'Profit&amp;Loss'!E40</f>
        <v>0</v>
      </c>
      <c r="F6" s="4">
        <f>'Profit&amp;Loss'!F40</f>
        <v>0</v>
      </c>
      <c r="G6" s="4">
        <f>'Profit&amp;Loss'!G40</f>
        <v>0</v>
      </c>
      <c r="H6" s="4">
        <f>'Profit&amp;Loss'!H40</f>
        <v>0</v>
      </c>
    </row>
    <row r="7" spans="1:8" x14ac:dyDescent="0.3">
      <c r="B7" s="15" t="s">
        <v>207</v>
      </c>
    </row>
    <row r="8" spans="1:8" x14ac:dyDescent="0.3">
      <c r="B8" s="13" t="s">
        <v>142</v>
      </c>
      <c r="C8">
        <v>-993.8</v>
      </c>
      <c r="D8">
        <v>-1153.52</v>
      </c>
      <c r="E8">
        <v>-1167.71</v>
      </c>
      <c r="F8">
        <v>-1444.77</v>
      </c>
      <c r="G8">
        <v>-1242.42</v>
      </c>
      <c r="H8">
        <v>-1521.35</v>
      </c>
    </row>
    <row r="9" spans="1:8" x14ac:dyDescent="0.3">
      <c r="B9" s="13" t="s">
        <v>143</v>
      </c>
      <c r="C9">
        <v>6903.44</v>
      </c>
      <c r="D9">
        <v>9905.84</v>
      </c>
      <c r="E9">
        <v>11897.03</v>
      </c>
      <c r="F9">
        <v>16661.919999999998</v>
      </c>
      <c r="G9">
        <v>32591.95</v>
      </c>
      <c r="H9">
        <v>39825.370000000003</v>
      </c>
    </row>
    <row r="10" spans="1:8" x14ac:dyDescent="0.3">
      <c r="B10" s="14" t="s">
        <v>146</v>
      </c>
      <c r="C10">
        <v>-2957.72</v>
      </c>
      <c r="D10">
        <v>-3505.86</v>
      </c>
      <c r="E10">
        <v>-6286.49</v>
      </c>
      <c r="F10">
        <v>-8743.32</v>
      </c>
      <c r="G10">
        <f>-162.19+(-3397.58)+(-183.33)</f>
        <v>-3743.1</v>
      </c>
      <c r="H10">
        <f>-687.98+(-12847)+(182.28)</f>
        <v>-13352.699999999999</v>
      </c>
    </row>
    <row r="11" spans="1:8" x14ac:dyDescent="0.3">
      <c r="B11" s="14" t="s">
        <v>147</v>
      </c>
      <c r="C11">
        <v>-31.42</v>
      </c>
      <c r="D11">
        <v>-428.21</v>
      </c>
      <c r="E11">
        <v>-42.43</v>
      </c>
      <c r="F11">
        <v>0.14000000000000001</v>
      </c>
      <c r="G11">
        <v>-0.24</v>
      </c>
      <c r="H11">
        <v>-0.24</v>
      </c>
    </row>
    <row r="12" spans="1:8" x14ac:dyDescent="0.3">
      <c r="B12" s="14" t="s">
        <v>148</v>
      </c>
      <c r="C12" t="s">
        <v>145</v>
      </c>
      <c r="D12">
        <v>-0.04</v>
      </c>
      <c r="E12">
        <v>-0.04</v>
      </c>
      <c r="F12">
        <v>0.04</v>
      </c>
      <c r="G12">
        <v>0</v>
      </c>
      <c r="H12">
        <v>0</v>
      </c>
    </row>
    <row r="13" spans="1:8" x14ac:dyDescent="0.3">
      <c r="B13" s="14" t="s">
        <v>149</v>
      </c>
      <c r="C13">
        <v>-1219.18</v>
      </c>
      <c r="D13">
        <v>-3456.4</v>
      </c>
      <c r="E13">
        <v>-4476.82</v>
      </c>
      <c r="F13">
        <v>-3842.87</v>
      </c>
      <c r="G13">
        <v>-3682.04</v>
      </c>
      <c r="H13">
        <v>-7394.94</v>
      </c>
    </row>
    <row r="14" spans="1:8" x14ac:dyDescent="0.3">
      <c r="B14" s="13" t="s">
        <v>150</v>
      </c>
      <c r="C14">
        <v>54.31</v>
      </c>
      <c r="D14">
        <v>102.5</v>
      </c>
      <c r="E14">
        <v>-50.24</v>
      </c>
      <c r="F14">
        <v>-469.32</v>
      </c>
      <c r="G14">
        <v>395.84</v>
      </c>
      <c r="H14">
        <v>-358.65</v>
      </c>
    </row>
    <row r="15" spans="1:8" x14ac:dyDescent="0.3">
      <c r="B15" s="14" t="s">
        <v>151</v>
      </c>
      <c r="C15">
        <v>-424.14</v>
      </c>
      <c r="D15">
        <v>-442.23</v>
      </c>
      <c r="E15">
        <v>135.55000000000001</v>
      </c>
      <c r="F15">
        <v>0</v>
      </c>
      <c r="G15">
        <v>0</v>
      </c>
      <c r="H15">
        <v>0</v>
      </c>
    </row>
    <row r="16" spans="1:8" x14ac:dyDescent="0.3">
      <c r="B16" s="14" t="s">
        <v>152</v>
      </c>
      <c r="C16">
        <v>128</v>
      </c>
      <c r="D16">
        <v>-193.78</v>
      </c>
      <c r="E16">
        <v>304.45</v>
      </c>
      <c r="F16">
        <v>374.34</v>
      </c>
      <c r="G16">
        <v>-166.49</v>
      </c>
      <c r="H16">
        <v>-48.01</v>
      </c>
    </row>
    <row r="17" spans="2:8" x14ac:dyDescent="0.3">
      <c r="B17" s="14" t="s">
        <v>209</v>
      </c>
      <c r="C17">
        <v>0</v>
      </c>
      <c r="D17">
        <v>0</v>
      </c>
      <c r="E17">
        <v>0</v>
      </c>
      <c r="F17">
        <v>576.29</v>
      </c>
      <c r="G17">
        <v>470.77</v>
      </c>
      <c r="H17">
        <v>469.14</v>
      </c>
    </row>
    <row r="18" spans="2:8" x14ac:dyDescent="0.3">
      <c r="B18" s="14" t="s">
        <v>153</v>
      </c>
      <c r="C18">
        <v>-66.16</v>
      </c>
      <c r="D18">
        <v>-901.58</v>
      </c>
      <c r="E18">
        <v>0</v>
      </c>
      <c r="F18">
        <v>-0.2</v>
      </c>
      <c r="G18">
        <v>0</v>
      </c>
      <c r="H18">
        <v>0</v>
      </c>
    </row>
    <row r="19" spans="2:8" x14ac:dyDescent="0.3">
      <c r="B19" s="14" t="s">
        <v>154</v>
      </c>
      <c r="C19">
        <v>124.77</v>
      </c>
      <c r="D19">
        <v>61.22</v>
      </c>
      <c r="E19" s="6">
        <v>55.35</v>
      </c>
      <c r="F19" s="6">
        <v>491.57</v>
      </c>
      <c r="G19" s="6">
        <v>463.9</v>
      </c>
      <c r="H19" s="6">
        <v>595.35</v>
      </c>
    </row>
    <row r="20" spans="2:8" x14ac:dyDescent="0.3">
      <c r="B20" s="14" t="s">
        <v>155</v>
      </c>
      <c r="C20" t="s">
        <v>145</v>
      </c>
      <c r="D20" t="s">
        <v>145</v>
      </c>
      <c r="E20" s="6">
        <v>-771.24</v>
      </c>
      <c r="F20" s="6">
        <v>-852.65</v>
      </c>
      <c r="G20">
        <v>-415.34</v>
      </c>
      <c r="H20" s="6">
        <v>-247.92</v>
      </c>
    </row>
    <row r="21" spans="2:8" x14ac:dyDescent="0.3">
      <c r="B21" s="14" t="s">
        <v>156</v>
      </c>
      <c r="C21" t="s">
        <v>145</v>
      </c>
      <c r="D21">
        <v>74.260000000000005</v>
      </c>
      <c r="E21" s="6">
        <v>20.059999999999999</v>
      </c>
      <c r="F21" s="6">
        <v>662.74</v>
      </c>
      <c r="G21" s="6">
        <v>915.04</v>
      </c>
      <c r="H21" s="6">
        <v>795.96</v>
      </c>
    </row>
    <row r="22" spans="2:8" x14ac:dyDescent="0.3">
      <c r="B22" s="13" t="s">
        <v>157</v>
      </c>
      <c r="C22">
        <v>159.19</v>
      </c>
      <c r="D22">
        <v>517.52</v>
      </c>
      <c r="E22" s="6">
        <v>149.25</v>
      </c>
      <c r="F22" s="6">
        <v>302.61</v>
      </c>
      <c r="G22" s="6">
        <v>0</v>
      </c>
      <c r="H22" s="6">
        <v>0</v>
      </c>
    </row>
    <row r="23" spans="2:8" x14ac:dyDescent="0.3">
      <c r="B23" s="14" t="s">
        <v>144</v>
      </c>
      <c r="C23">
        <v>65.040000000000006</v>
      </c>
      <c r="D23">
        <v>9057.99</v>
      </c>
      <c r="E23" s="6">
        <v>0</v>
      </c>
      <c r="F23" s="6">
        <v>-800</v>
      </c>
      <c r="G23" s="6">
        <v>500</v>
      </c>
      <c r="H23" s="6">
        <v>447.18</v>
      </c>
    </row>
    <row r="24" spans="2:8" x14ac:dyDescent="0.3">
      <c r="B24" s="14" t="s">
        <v>158</v>
      </c>
      <c r="C24" t="s">
        <v>145</v>
      </c>
      <c r="D24" t="s">
        <v>145</v>
      </c>
      <c r="E24" s="6">
        <v>1771.06</v>
      </c>
      <c r="F24" s="6">
        <v>-1751.3</v>
      </c>
      <c r="G24" s="6">
        <v>193.52</v>
      </c>
      <c r="H24" s="6">
        <v>400</v>
      </c>
    </row>
    <row r="25" spans="2:8" x14ac:dyDescent="0.3">
      <c r="B25" s="14" t="s">
        <v>159</v>
      </c>
      <c r="C25">
        <v>-561.09</v>
      </c>
      <c r="D25">
        <v>-1289.51</v>
      </c>
      <c r="E25" s="6">
        <v>-3830.24</v>
      </c>
      <c r="F25" s="6">
        <v>-1292.3399999999999</v>
      </c>
      <c r="G25" s="6">
        <v>-1276.4000000000001</v>
      </c>
      <c r="H25" s="6">
        <v>-4005.1</v>
      </c>
    </row>
    <row r="26" spans="2:8" x14ac:dyDescent="0.3">
      <c r="B26" s="14" t="s">
        <v>137</v>
      </c>
      <c r="C26">
        <v>4303.24</v>
      </c>
      <c r="D26">
        <v>2171.8000000000002</v>
      </c>
      <c r="E26" s="6">
        <v>1644.59</v>
      </c>
      <c r="F26" s="6">
        <f>1855.85+278</f>
        <v>2133.85</v>
      </c>
      <c r="G26" s="6">
        <f>4024.3+5.91</f>
        <v>4030.21</v>
      </c>
      <c r="H26">
        <f>2482.41+2318.63</f>
        <v>4801.04</v>
      </c>
    </row>
    <row r="27" spans="2:8" s="4" customFormat="1" x14ac:dyDescent="0.3">
      <c r="B27" s="13" t="s">
        <v>160</v>
      </c>
      <c r="C27" s="4" t="s">
        <v>145</v>
      </c>
      <c r="D27" s="4" t="s">
        <v>145</v>
      </c>
      <c r="E27" s="6">
        <v>337.44</v>
      </c>
      <c r="F27" s="6">
        <v>1026.1400000000001</v>
      </c>
      <c r="G27" s="6">
        <v>377.68</v>
      </c>
      <c r="H27" s="6">
        <v>737.02</v>
      </c>
    </row>
    <row r="28" spans="2:8" s="4" customFormat="1" x14ac:dyDescent="0.3">
      <c r="B28" s="13" t="s">
        <v>161</v>
      </c>
      <c r="C28" s="4" t="s">
        <v>145</v>
      </c>
      <c r="D28" s="6">
        <v>25.38</v>
      </c>
      <c r="E28" s="6">
        <v>32.71</v>
      </c>
      <c r="F28" s="6">
        <v>47.95</v>
      </c>
      <c r="G28" s="6">
        <v>44.92</v>
      </c>
      <c r="H28" s="6">
        <v>78.510000000000005</v>
      </c>
    </row>
    <row r="29" spans="2:8" x14ac:dyDescent="0.3">
      <c r="B29" s="14" t="s">
        <v>162</v>
      </c>
      <c r="C29">
        <v>2250.6999999999998</v>
      </c>
      <c r="D29">
        <v>0.34</v>
      </c>
      <c r="E29" s="6">
        <v>0</v>
      </c>
      <c r="F29" s="6">
        <v>0</v>
      </c>
      <c r="G29" s="6">
        <v>385.24</v>
      </c>
      <c r="H29" s="6">
        <v>0</v>
      </c>
    </row>
    <row r="30" spans="2:8" x14ac:dyDescent="0.3">
      <c r="B30" s="4" t="s">
        <v>163</v>
      </c>
      <c r="C30" s="4">
        <f t="shared" ref="C30:G30" si="1">SUM(C6:C29)</f>
        <v>7735.1799999999994</v>
      </c>
      <c r="D30" s="4">
        <f t="shared" si="1"/>
        <v>10545.72</v>
      </c>
      <c r="E30" s="4">
        <f t="shared" si="1"/>
        <v>-277.72000000000014</v>
      </c>
      <c r="F30" s="4">
        <f t="shared" si="1"/>
        <v>3080.8199999999988</v>
      </c>
      <c r="G30" s="4">
        <f t="shared" si="1"/>
        <v>29843.039999999997</v>
      </c>
      <c r="H30" s="4">
        <f t="shared" ref="H30" si="2">SUM(H6:H29)</f>
        <v>21220.660000000003</v>
      </c>
    </row>
    <row r="32" spans="2:8" x14ac:dyDescent="0.3">
      <c r="B32" s="4" t="s">
        <v>164</v>
      </c>
    </row>
    <row r="33" spans="1:8" x14ac:dyDescent="0.3">
      <c r="B33" s="12" t="s">
        <v>165</v>
      </c>
      <c r="C33">
        <v>7032.26</v>
      </c>
      <c r="D33">
        <v>-30883.07</v>
      </c>
      <c r="E33">
        <v>19887.349999999999</v>
      </c>
      <c r="F33">
        <v>-6595.27</v>
      </c>
      <c r="G33">
        <v>-20531.48</v>
      </c>
      <c r="H33">
        <v>-28991.02</v>
      </c>
    </row>
    <row r="34" spans="1:8" x14ac:dyDescent="0.3">
      <c r="B34" s="12" t="s">
        <v>166</v>
      </c>
      <c r="C34">
        <v>-3049.51</v>
      </c>
      <c r="D34">
        <v>-7814.92</v>
      </c>
      <c r="E34">
        <v>-28440.32</v>
      </c>
      <c r="F34">
        <v>-57670.04</v>
      </c>
      <c r="G34">
        <v>26177.99</v>
      </c>
      <c r="H34" s="7">
        <v>-5500.3</v>
      </c>
    </row>
    <row r="35" spans="1:8" x14ac:dyDescent="0.3">
      <c r="B35" s="12" t="s">
        <v>210</v>
      </c>
      <c r="C35">
        <v>-796.03</v>
      </c>
      <c r="D35">
        <v>-480.62</v>
      </c>
      <c r="E35">
        <v>299.69</v>
      </c>
      <c r="F35">
        <v>1339.11</v>
      </c>
      <c r="G35">
        <v>-12929.75</v>
      </c>
      <c r="H35">
        <v>11334.27</v>
      </c>
    </row>
    <row r="36" spans="1:8" x14ac:dyDescent="0.3">
      <c r="B36" s="12" t="s">
        <v>167</v>
      </c>
      <c r="C36">
        <v>-3796.27</v>
      </c>
      <c r="D36">
        <v>-13039.23</v>
      </c>
      <c r="E36">
        <v>-9430.83</v>
      </c>
      <c r="F36">
        <v>-60559.12</v>
      </c>
      <c r="G36">
        <v>29556.15</v>
      </c>
      <c r="H36" s="7">
        <v>522.29999999999995</v>
      </c>
    </row>
    <row r="37" spans="1:8" x14ac:dyDescent="0.3">
      <c r="B37" s="12" t="s">
        <v>168</v>
      </c>
      <c r="C37">
        <v>5502.31</v>
      </c>
      <c r="D37">
        <v>11789.46</v>
      </c>
      <c r="E37">
        <v>2993.23</v>
      </c>
      <c r="F37">
        <v>3689.17</v>
      </c>
      <c r="G37">
        <v>5320.74</v>
      </c>
      <c r="H37">
        <v>9568.57</v>
      </c>
    </row>
    <row r="38" spans="1:8" x14ac:dyDescent="0.3">
      <c r="B38" s="12" t="s">
        <v>169</v>
      </c>
      <c r="C38">
        <v>-7483.31</v>
      </c>
      <c r="D38">
        <v>18314.11</v>
      </c>
      <c r="E38">
        <v>-7815.07</v>
      </c>
      <c r="F38">
        <v>41984.91</v>
      </c>
      <c r="G38">
        <v>-6501.93</v>
      </c>
      <c r="H38">
        <v>9745.2099999999991</v>
      </c>
    </row>
    <row r="39" spans="1:8" x14ac:dyDescent="0.3">
      <c r="B39" s="12" t="s">
        <v>170</v>
      </c>
      <c r="C39">
        <v>-862.27</v>
      </c>
      <c r="D39">
        <v>5334.55</v>
      </c>
      <c r="E39">
        <v>8543.64</v>
      </c>
      <c r="F39">
        <v>1899.44</v>
      </c>
      <c r="G39">
        <v>1621.1</v>
      </c>
      <c r="H39">
        <v>269.94</v>
      </c>
    </row>
    <row r="40" spans="1:8" x14ac:dyDescent="0.3">
      <c r="B40" s="12" t="s">
        <v>171</v>
      </c>
      <c r="C40">
        <v>2478.9</v>
      </c>
      <c r="D40">
        <v>5216.1499999999996</v>
      </c>
      <c r="E40">
        <v>7459.39</v>
      </c>
      <c r="F40">
        <v>17299.73</v>
      </c>
      <c r="G40">
        <v>-6039.93</v>
      </c>
      <c r="H40">
        <v>5092.62</v>
      </c>
    </row>
    <row r="41" spans="1:8" x14ac:dyDescent="0.3">
      <c r="B41" s="4" t="s">
        <v>172</v>
      </c>
      <c r="C41" s="4">
        <f>SUM(C33:C40,C30)</f>
        <v>6761.2599999999993</v>
      </c>
      <c r="D41" s="4">
        <f>SUM(D33:D40,D30)</f>
        <v>-1017.8499999999985</v>
      </c>
      <c r="E41" s="4">
        <f>SUM(E33:E40,E30)</f>
        <v>-6780.6400000000012</v>
      </c>
      <c r="F41" s="4">
        <f>SUM(F33:F40,F30)</f>
        <v>-55531.250000000007</v>
      </c>
      <c r="G41" s="4">
        <f t="shared" ref="G41:H41" si="3">SUM(G33:G40,G30)</f>
        <v>46515.929999999993</v>
      </c>
      <c r="H41" s="4">
        <f t="shared" si="3"/>
        <v>23262.250000000004</v>
      </c>
    </row>
    <row r="42" spans="1:8" x14ac:dyDescent="0.3">
      <c r="B42" t="s">
        <v>173</v>
      </c>
      <c r="C42">
        <v>-34184.120000000003</v>
      </c>
      <c r="D42">
        <v>-33091.15</v>
      </c>
      <c r="E42">
        <v>-45407.5</v>
      </c>
      <c r="F42">
        <v>-49950.83</v>
      </c>
      <c r="G42">
        <v>-32309.67</v>
      </c>
      <c r="H42">
        <v>-47953.38</v>
      </c>
    </row>
    <row r="43" spans="1:8" x14ac:dyDescent="0.3">
      <c r="B43" s="4" t="s">
        <v>174</v>
      </c>
      <c r="C43" s="4">
        <f>SUM(C41:C42)</f>
        <v>-27422.860000000004</v>
      </c>
      <c r="D43" s="4">
        <f>SUM(D41:D42)</f>
        <v>-34109</v>
      </c>
      <c r="E43" s="4">
        <f>SUM(E41:E42)</f>
        <v>-52188.14</v>
      </c>
      <c r="F43" s="4">
        <f>SUM(F41:F42)</f>
        <v>-105482.08000000002</v>
      </c>
      <c r="G43" s="4">
        <f t="shared" ref="G43:H43" si="4">SUM(G41:G42)</f>
        <v>14206.259999999995</v>
      </c>
      <c r="H43" s="4">
        <f t="shared" si="4"/>
        <v>-24691.129999999994</v>
      </c>
    </row>
    <row r="45" spans="1:8" x14ac:dyDescent="0.3">
      <c r="A45" s="4">
        <v>2</v>
      </c>
      <c r="B45" s="4" t="s">
        <v>175</v>
      </c>
    </row>
    <row r="46" spans="1:8" x14ac:dyDescent="0.3">
      <c r="B46" s="6" t="s">
        <v>176</v>
      </c>
      <c r="C46">
        <v>5888.95</v>
      </c>
      <c r="D46">
        <v>1124.24</v>
      </c>
      <c r="E46">
        <v>74.25</v>
      </c>
      <c r="F46">
        <v>314.64</v>
      </c>
      <c r="G46">
        <v>604.79</v>
      </c>
      <c r="H46">
        <v>750.7</v>
      </c>
    </row>
    <row r="47" spans="1:8" x14ac:dyDescent="0.3">
      <c r="B47" s="6" t="s">
        <v>177</v>
      </c>
      <c r="C47">
        <v>-29767.52</v>
      </c>
      <c r="D47">
        <v>-22796.98</v>
      </c>
      <c r="E47">
        <v>-30842.84</v>
      </c>
      <c r="F47">
        <v>-46486.44</v>
      </c>
      <c r="G47">
        <v>-78902.05</v>
      </c>
      <c r="H47">
        <v>-31533.35</v>
      </c>
    </row>
    <row r="48" spans="1:8" x14ac:dyDescent="0.3">
      <c r="B48" s="6" t="s">
        <v>213</v>
      </c>
      <c r="C48">
        <v>0</v>
      </c>
      <c r="D48">
        <v>0</v>
      </c>
      <c r="E48">
        <v>0</v>
      </c>
      <c r="F48">
        <v>0</v>
      </c>
      <c r="G48">
        <v>0</v>
      </c>
      <c r="H48">
        <v>-687.44</v>
      </c>
    </row>
    <row r="49" spans="1:8" x14ac:dyDescent="0.3">
      <c r="B49" s="6" t="s">
        <v>178</v>
      </c>
      <c r="C49">
        <v>5514.53</v>
      </c>
      <c r="D49">
        <v>-8670.23</v>
      </c>
      <c r="E49">
        <v>-61827.67</v>
      </c>
      <c r="F49">
        <v>51914.55</v>
      </c>
      <c r="G49">
        <f>-87758.77+71224</f>
        <v>-16534.770000000004</v>
      </c>
      <c r="H49">
        <f>-159217.31+54488.75</f>
        <v>-104728.56</v>
      </c>
    </row>
    <row r="50" spans="1:8" x14ac:dyDescent="0.3">
      <c r="B50" s="6" t="s">
        <v>211</v>
      </c>
      <c r="C50">
        <v>0</v>
      </c>
      <c r="D50">
        <v>0</v>
      </c>
      <c r="E50">
        <v>0</v>
      </c>
      <c r="F50" s="6">
        <v>-188065</v>
      </c>
      <c r="G50" s="6">
        <v>-4304.8500000000004</v>
      </c>
      <c r="H50" s="6">
        <v>-6700.33</v>
      </c>
    </row>
    <row r="51" spans="1:8" x14ac:dyDescent="0.3">
      <c r="B51" s="6" t="s">
        <v>212</v>
      </c>
      <c r="C51">
        <v>0</v>
      </c>
      <c r="D51">
        <v>0</v>
      </c>
      <c r="E51">
        <v>0</v>
      </c>
      <c r="F51">
        <v>-2700</v>
      </c>
      <c r="G51" s="6">
        <v>-2007.7</v>
      </c>
      <c r="H51" s="6">
        <v>-3133.38</v>
      </c>
    </row>
    <row r="52" spans="1:8" x14ac:dyDescent="0.3">
      <c r="B52" s="6" t="s">
        <v>179</v>
      </c>
      <c r="C52">
        <v>31.42</v>
      </c>
      <c r="D52">
        <v>428.25</v>
      </c>
      <c r="E52">
        <v>42.47</v>
      </c>
      <c r="F52">
        <v>0.18</v>
      </c>
      <c r="G52" s="6">
        <v>0.24</v>
      </c>
      <c r="H52" s="6">
        <v>0.24</v>
      </c>
    </row>
    <row r="53" spans="1:8" x14ac:dyDescent="0.3">
      <c r="B53" s="6" t="s">
        <v>180</v>
      </c>
      <c r="C53">
        <v>-192.17</v>
      </c>
      <c r="D53">
        <v>-313.85000000000002</v>
      </c>
      <c r="E53">
        <v>-128.05000000000001</v>
      </c>
      <c r="F53">
        <v>1735.88</v>
      </c>
      <c r="G53" s="6">
        <v>0</v>
      </c>
      <c r="H53" s="6">
        <v>0</v>
      </c>
    </row>
    <row r="54" spans="1:8" x14ac:dyDescent="0.3">
      <c r="B54" s="6" t="s">
        <v>181</v>
      </c>
      <c r="C54">
        <v>100.81</v>
      </c>
      <c r="D54">
        <v>23.35</v>
      </c>
      <c r="E54">
        <v>-31.86</v>
      </c>
      <c r="F54">
        <v>-9.6300000000000008</v>
      </c>
      <c r="G54" s="6">
        <v>-40.94</v>
      </c>
      <c r="H54" s="6">
        <v>-122.94</v>
      </c>
    </row>
    <row r="55" spans="1:8" x14ac:dyDescent="0.3">
      <c r="B55" s="6" t="s">
        <v>182</v>
      </c>
      <c r="C55">
        <v>-2039.54</v>
      </c>
      <c r="D55">
        <v>-16918.09</v>
      </c>
      <c r="E55">
        <v>-33975.78</v>
      </c>
      <c r="F55">
        <v>43015.3</v>
      </c>
      <c r="G55" s="6">
        <v>-4497.1099999999997</v>
      </c>
      <c r="H55" s="6">
        <v>-66758.58</v>
      </c>
    </row>
    <row r="56" spans="1:8" x14ac:dyDescent="0.3">
      <c r="B56" t="s">
        <v>208</v>
      </c>
      <c r="C56">
        <v>-24505.02</v>
      </c>
      <c r="D56">
        <v>0</v>
      </c>
      <c r="E56">
        <v>0</v>
      </c>
      <c r="F56" s="6">
        <v>0</v>
      </c>
      <c r="G56" s="6">
        <v>-382.73</v>
      </c>
      <c r="H56" s="6">
        <v>0</v>
      </c>
    </row>
    <row r="57" spans="1:8" x14ac:dyDescent="0.3">
      <c r="B57" s="6" t="s">
        <v>183</v>
      </c>
      <c r="C57">
        <v>-96.14</v>
      </c>
      <c r="D57">
        <v>529.72</v>
      </c>
      <c r="E57">
        <v>1027.01</v>
      </c>
      <c r="F57">
        <v>2074.42</v>
      </c>
      <c r="G57" s="6">
        <v>-624.41999999999996</v>
      </c>
      <c r="H57" s="6">
        <v>739.51</v>
      </c>
    </row>
    <row r="58" spans="1:8" x14ac:dyDescent="0.3">
      <c r="B58" t="s">
        <v>184</v>
      </c>
      <c r="C58">
        <v>69.099999999999994</v>
      </c>
      <c r="D58">
        <v>1388.69</v>
      </c>
      <c r="E58">
        <v>0</v>
      </c>
      <c r="F58">
        <v>0</v>
      </c>
      <c r="G58" s="6">
        <v>0</v>
      </c>
      <c r="H58" s="6">
        <v>0</v>
      </c>
    </row>
    <row r="59" spans="1:8" x14ac:dyDescent="0.3">
      <c r="B59" s="6" t="s">
        <v>185</v>
      </c>
      <c r="C59">
        <v>561.09</v>
      </c>
      <c r="D59">
        <v>1289.51</v>
      </c>
      <c r="E59">
        <v>3830.24</v>
      </c>
      <c r="F59">
        <v>1292.3399999999999</v>
      </c>
      <c r="G59" s="6">
        <v>1276.4000000000001</v>
      </c>
      <c r="H59" s="6">
        <v>4005.1</v>
      </c>
    </row>
    <row r="60" spans="1:8" x14ac:dyDescent="0.3">
      <c r="B60" s="4" t="s">
        <v>186</v>
      </c>
      <c r="C60" s="4">
        <f t="shared" ref="C60:H60" si="5">SUM(C46:C59)</f>
        <v>-44434.490000000005</v>
      </c>
      <c r="D60" s="4">
        <f t="shared" si="5"/>
        <v>-43915.389999999992</v>
      </c>
      <c r="E60" s="4">
        <f t="shared" si="5"/>
        <v>-121832.23</v>
      </c>
      <c r="F60" s="4">
        <f t="shared" si="5"/>
        <v>-136913.76</v>
      </c>
      <c r="G60" s="4">
        <f t="shared" si="5"/>
        <v>-105413.14000000001</v>
      </c>
      <c r="H60" s="4">
        <f t="shared" si="5"/>
        <v>-208169.03</v>
      </c>
    </row>
    <row r="62" spans="1:8" x14ac:dyDescent="0.3">
      <c r="A62" s="4">
        <v>3</v>
      </c>
      <c r="B62" s="4" t="s">
        <v>187</v>
      </c>
    </row>
    <row r="63" spans="1:8" x14ac:dyDescent="0.3">
      <c r="B63" t="s">
        <v>188</v>
      </c>
      <c r="C63">
        <v>-4496.96</v>
      </c>
      <c r="D63">
        <v>-2197.1799999999998</v>
      </c>
      <c r="E63">
        <v>-1677.3</v>
      </c>
      <c r="F63">
        <v>-1730.69</v>
      </c>
      <c r="G63">
        <v>-4148.1899999999996</v>
      </c>
      <c r="H63">
        <v>-2538.85</v>
      </c>
    </row>
    <row r="64" spans="1:8" x14ac:dyDescent="0.3">
      <c r="B64" t="s">
        <v>189</v>
      </c>
      <c r="C64">
        <v>1096.97</v>
      </c>
      <c r="D64">
        <v>1387.92</v>
      </c>
      <c r="E64">
        <v>12678.23</v>
      </c>
      <c r="F64">
        <v>127232.71</v>
      </c>
      <c r="G64">
        <v>109473.48</v>
      </c>
      <c r="H64">
        <v>37461.24</v>
      </c>
    </row>
    <row r="65" spans="2:8" x14ac:dyDescent="0.3">
      <c r="B65" t="s">
        <v>190</v>
      </c>
      <c r="C65">
        <v>35294.53</v>
      </c>
      <c r="D65">
        <v>3660.11</v>
      </c>
      <c r="E65">
        <v>45215.81</v>
      </c>
      <c r="F65">
        <v>585.95000000000005</v>
      </c>
      <c r="G65">
        <v>384.51</v>
      </c>
      <c r="H65">
        <v>2609.25</v>
      </c>
    </row>
    <row r="66" spans="2:8" x14ac:dyDescent="0.3">
      <c r="B66" t="s">
        <v>191</v>
      </c>
      <c r="C66">
        <v>-18748.22</v>
      </c>
      <c r="D66">
        <v>-21106.31</v>
      </c>
      <c r="E66">
        <v>-1769.76</v>
      </c>
      <c r="F66">
        <v>-64535.06</v>
      </c>
      <c r="G66">
        <v>-176415.2</v>
      </c>
      <c r="H66">
        <v>-33980.92</v>
      </c>
    </row>
    <row r="67" spans="2:8" x14ac:dyDescent="0.3">
      <c r="B67" t="s">
        <v>192</v>
      </c>
      <c r="C67">
        <v>-33052.9</v>
      </c>
      <c r="D67">
        <v>-352.03</v>
      </c>
      <c r="E67">
        <v>-45076.5</v>
      </c>
      <c r="F67">
        <v>-859.06</v>
      </c>
      <c r="G67">
        <v>-2967.11</v>
      </c>
      <c r="H67">
        <v>-2693.19</v>
      </c>
    </row>
    <row r="68" spans="2:8" x14ac:dyDescent="0.3">
      <c r="B68" t="s">
        <v>193</v>
      </c>
      <c r="C68">
        <v>0</v>
      </c>
      <c r="D68">
        <v>-106.88</v>
      </c>
      <c r="E68">
        <v>-112.61</v>
      </c>
      <c r="F68">
        <v>-183.84</v>
      </c>
      <c r="G68">
        <v>-255.38</v>
      </c>
      <c r="H68">
        <v>-252.46</v>
      </c>
    </row>
    <row r="69" spans="2:8" x14ac:dyDescent="0.3">
      <c r="B69" t="s">
        <v>214</v>
      </c>
      <c r="C69">
        <v>0</v>
      </c>
      <c r="D69">
        <v>0</v>
      </c>
      <c r="E69">
        <v>-32.71</v>
      </c>
      <c r="F69">
        <v>-47.95</v>
      </c>
      <c r="G69">
        <v>-44.92</v>
      </c>
      <c r="H69">
        <v>-78.510000000000005</v>
      </c>
    </row>
    <row r="70" spans="2:8" x14ac:dyDescent="0.3">
      <c r="B70" t="s">
        <v>215</v>
      </c>
      <c r="C70">
        <v>0</v>
      </c>
      <c r="D70">
        <v>0</v>
      </c>
      <c r="E70">
        <v>-10006.219999999999</v>
      </c>
      <c r="F70">
        <v>0</v>
      </c>
      <c r="G70">
        <v>0</v>
      </c>
      <c r="H70">
        <v>0</v>
      </c>
    </row>
    <row r="71" spans="2:8" x14ac:dyDescent="0.3">
      <c r="B71" t="s">
        <v>194</v>
      </c>
      <c r="C71">
        <v>-2892.89</v>
      </c>
      <c r="D71">
        <v>-36426.6</v>
      </c>
      <c r="E71">
        <v>0</v>
      </c>
      <c r="F71">
        <v>0</v>
      </c>
      <c r="G71">
        <v>0</v>
      </c>
      <c r="H71">
        <v>0</v>
      </c>
    </row>
    <row r="72" spans="2:8" x14ac:dyDescent="0.3">
      <c r="B72" s="4" t="s">
        <v>195</v>
      </c>
      <c r="C72" s="4">
        <f>SUM(C63:C71)</f>
        <v>-22799.47</v>
      </c>
      <c r="D72" s="4">
        <f>SUM(D63:D71)</f>
        <v>-55140.97</v>
      </c>
      <c r="E72" s="4">
        <f t="shared" ref="E72:G72" si="6">SUM(E63:E71)</f>
        <v>-781.06000000000313</v>
      </c>
      <c r="F72" s="4">
        <f t="shared" si="6"/>
        <v>60462.060000000012</v>
      </c>
      <c r="G72" s="4">
        <f t="shared" si="6"/>
        <v>-73972.810000000027</v>
      </c>
      <c r="H72" s="4">
        <f t="shared" ref="H72" si="7">SUM(H63:H71)</f>
        <v>526.56000000000108</v>
      </c>
    </row>
    <row r="75" spans="2:8" x14ac:dyDescent="0.3">
      <c r="B75" t="s">
        <v>196</v>
      </c>
      <c r="C75">
        <v>-7196.73</v>
      </c>
      <c r="D75">
        <v>10608.15</v>
      </c>
      <c r="E75">
        <v>-9277.7900000000009</v>
      </c>
      <c r="F75">
        <v>15525.51</v>
      </c>
      <c r="G75">
        <v>1944.49</v>
      </c>
      <c r="H75">
        <v>7602.03</v>
      </c>
    </row>
    <row r="76" spans="2:8" x14ac:dyDescent="0.3">
      <c r="B76" t="s">
        <v>197</v>
      </c>
      <c r="C76">
        <v>-2.4</v>
      </c>
      <c r="D76">
        <v>360.35</v>
      </c>
      <c r="E76">
        <v>37.520000000000003</v>
      </c>
      <c r="F76">
        <v>47.79</v>
      </c>
      <c r="G76">
        <v>231.54</v>
      </c>
      <c r="H76">
        <v>116.65</v>
      </c>
    </row>
    <row r="77" spans="2:8" x14ac:dyDescent="0.3">
      <c r="B77" t="s">
        <v>198</v>
      </c>
      <c r="C77">
        <v>5284.6</v>
      </c>
      <c r="D77">
        <v>-634.52000000000044</v>
      </c>
      <c r="E77">
        <v>0</v>
      </c>
      <c r="F77">
        <v>0</v>
      </c>
      <c r="G77">
        <v>0</v>
      </c>
      <c r="H77">
        <v>0</v>
      </c>
    </row>
    <row r="78" spans="2:8" x14ac:dyDescent="0.3">
      <c r="B78" t="s">
        <v>199</v>
      </c>
      <c r="C78">
        <v>13553.56</v>
      </c>
      <c r="D78">
        <v>11639.03</v>
      </c>
      <c r="E78">
        <v>21973.01</v>
      </c>
      <c r="F78">
        <v>12732.74</v>
      </c>
      <c r="G78">
        <f>F79</f>
        <v>28306.04</v>
      </c>
      <c r="H78">
        <f t="shared" ref="H78" si="8">G79</f>
        <v>30482.07</v>
      </c>
    </row>
    <row r="79" spans="2:8" x14ac:dyDescent="0.3">
      <c r="B79" s="4" t="s">
        <v>200</v>
      </c>
      <c r="C79" s="4">
        <f>SUM(C75:C78)</f>
        <v>11639.03</v>
      </c>
      <c r="D79" s="4">
        <f>SUM(D75:D78)</f>
        <v>21973.010000000002</v>
      </c>
      <c r="E79" s="4">
        <f t="shared" ref="E79:H79" si="9">SUM(E75:E78)</f>
        <v>12732.739999999998</v>
      </c>
      <c r="F79" s="4">
        <f t="shared" si="9"/>
        <v>28306.04</v>
      </c>
      <c r="G79" s="4">
        <f t="shared" si="9"/>
        <v>30482.07</v>
      </c>
      <c r="H79" s="4">
        <f t="shared" si="9"/>
        <v>38200.75</v>
      </c>
    </row>
    <row r="81" spans="2:8" x14ac:dyDescent="0.3">
      <c r="B81" s="4" t="s">
        <v>201</v>
      </c>
    </row>
    <row r="82" spans="2:8" x14ac:dyDescent="0.3">
      <c r="B82" t="s">
        <v>202</v>
      </c>
      <c r="C82">
        <v>11511.52</v>
      </c>
      <c r="D82">
        <v>18850.509999999998</v>
      </c>
      <c r="E82">
        <v>15308.43</v>
      </c>
      <c r="F82">
        <v>28859.85</v>
      </c>
      <c r="G82">
        <v>0</v>
      </c>
      <c r="H82">
        <v>0</v>
      </c>
    </row>
    <row r="83" spans="2:8" x14ac:dyDescent="0.3">
      <c r="B83" t="s">
        <v>203</v>
      </c>
      <c r="C83">
        <v>101.06</v>
      </c>
      <c r="D83">
        <v>1812.29</v>
      </c>
      <c r="E83">
        <v>1390.39</v>
      </c>
      <c r="F83">
        <v>1140.55</v>
      </c>
      <c r="G83">
        <v>29735.25</v>
      </c>
      <c r="H83">
        <v>26230.99</v>
      </c>
    </row>
    <row r="84" spans="2:8" x14ac:dyDescent="0.3">
      <c r="B84" t="s">
        <v>204</v>
      </c>
      <c r="C84">
        <v>25.54</v>
      </c>
      <c r="D84">
        <v>25.58</v>
      </c>
      <c r="E84">
        <v>19.38</v>
      </c>
      <c r="F84">
        <v>24.57</v>
      </c>
      <c r="G84">
        <v>701.08</v>
      </c>
      <c r="H84">
        <v>11895.98</v>
      </c>
    </row>
    <row r="85" spans="2:8" x14ac:dyDescent="0.3">
      <c r="B85" t="s">
        <v>205</v>
      </c>
      <c r="C85">
        <v>0.91</v>
      </c>
      <c r="D85">
        <v>1919.15</v>
      </c>
      <c r="E85">
        <v>0</v>
      </c>
      <c r="F85">
        <v>228.5</v>
      </c>
      <c r="G85">
        <v>45.74</v>
      </c>
      <c r="H85">
        <v>73.78</v>
      </c>
    </row>
    <row r="86" spans="2:8" s="4" customFormat="1" x14ac:dyDescent="0.3">
      <c r="B86" s="6" t="s">
        <v>206</v>
      </c>
      <c r="C86" s="6">
        <f>SUM(C82:C85)</f>
        <v>11639.03</v>
      </c>
      <c r="D86" s="6">
        <f>SUM(D82:D85)</f>
        <v>22607.530000000002</v>
      </c>
      <c r="E86" s="6">
        <f t="shared" ref="E86:F86" si="10">SUM(E82:E85)</f>
        <v>16718.2</v>
      </c>
      <c r="F86" s="6">
        <f t="shared" si="10"/>
        <v>30253.469999999998</v>
      </c>
      <c r="G86" s="6">
        <v>0</v>
      </c>
      <c r="H86" s="4">
        <v>0</v>
      </c>
    </row>
    <row r="87" spans="2:8" s="4" customFormat="1" x14ac:dyDescent="0.3">
      <c r="B87" s="4" t="s">
        <v>216</v>
      </c>
      <c r="C87" s="4">
        <f>SUM(C82:C86)</f>
        <v>23278.06</v>
      </c>
      <c r="D87" s="4">
        <f t="shared" ref="D87:F87" si="11">SUM(D82:D86)</f>
        <v>45215.060000000005</v>
      </c>
      <c r="E87" s="4">
        <f t="shared" si="11"/>
        <v>33436.400000000001</v>
      </c>
      <c r="F87" s="4">
        <f t="shared" si="11"/>
        <v>60506.939999999995</v>
      </c>
      <c r="G87" s="4">
        <f>SUM(G83:G86)</f>
        <v>30482.070000000003</v>
      </c>
      <c r="H87" s="4">
        <f>SUM(H83:H86)</f>
        <v>38200.75</v>
      </c>
    </row>
    <row r="88" spans="2:8" x14ac:dyDescent="0.3">
      <c r="B88" s="6"/>
      <c r="C88" s="6"/>
      <c r="D88" s="6"/>
      <c r="E88" s="6"/>
      <c r="F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Screener Data&gt;</vt:lpstr>
      <vt:lpstr>BS</vt:lpstr>
      <vt:lpstr>PnL</vt:lpstr>
      <vt:lpstr>CF</vt:lpstr>
      <vt:lpstr>Annual Report Data&gt;</vt:lpstr>
      <vt:lpstr>Profit&amp;Loss</vt:lpstr>
      <vt:lpstr>BalanceSheet</vt:lpstr>
      <vt:lpstr>CashFlow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2025-07-12T18:17:56Z</dcterms:modified>
</cp:coreProperties>
</file>