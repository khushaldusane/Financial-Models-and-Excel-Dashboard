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1"/>
  </bookViews>
  <sheets>
    <sheet name="Annual Report Data&gt;" sheetId="5" r:id="rId1"/>
    <sheet name="Income Stmt" sheetId="7" r:id="rId2"/>
    <sheet name="Balance Sheet" sheetId="2" r:id="rId3"/>
    <sheet name="Cash Flow" sheetId="8" r:id="rId4"/>
  </sheets>
  <calcPr calcId="152511"/>
</workbook>
</file>

<file path=xl/calcChain.xml><?xml version="1.0" encoding="utf-8"?>
<calcChain xmlns="http://schemas.openxmlformats.org/spreadsheetml/2006/main">
  <c r="H9" i="7" l="1"/>
  <c r="G9" i="7"/>
  <c r="F9" i="7"/>
  <c r="E9" i="7"/>
  <c r="D9" i="7"/>
  <c r="H86" i="8"/>
  <c r="G86" i="8"/>
  <c r="F86" i="8"/>
  <c r="E86" i="8"/>
  <c r="D86" i="8"/>
  <c r="C86" i="8"/>
  <c r="H78" i="8"/>
  <c r="G78" i="8"/>
  <c r="F78" i="8"/>
  <c r="E78" i="8"/>
  <c r="D78" i="8"/>
  <c r="C78" i="8"/>
  <c r="H71" i="8"/>
  <c r="G71" i="8"/>
  <c r="F71" i="8"/>
  <c r="E71" i="8"/>
  <c r="D71" i="8"/>
  <c r="C71" i="8"/>
  <c r="H59" i="8"/>
  <c r="G59" i="8"/>
  <c r="F59" i="8"/>
  <c r="E59" i="8"/>
  <c r="D59" i="8"/>
  <c r="C59" i="8"/>
  <c r="H42" i="8"/>
  <c r="G42" i="8"/>
  <c r="F42" i="8"/>
  <c r="E42" i="8"/>
  <c r="D42" i="8"/>
  <c r="C42" i="8"/>
  <c r="H40" i="8"/>
  <c r="G40" i="8"/>
  <c r="F40" i="8"/>
  <c r="E40" i="8"/>
  <c r="D40" i="8"/>
  <c r="C40" i="8"/>
  <c r="D4" i="8"/>
  <c r="E4" i="8" s="1"/>
  <c r="F4" i="8" s="1"/>
  <c r="G4" i="8" s="1"/>
  <c r="H4" i="8" s="1"/>
  <c r="G47" i="2"/>
  <c r="F47" i="2"/>
  <c r="E47" i="2"/>
  <c r="D47" i="2"/>
  <c r="C47" i="2"/>
  <c r="H47" i="2"/>
  <c r="H70" i="2" l="1"/>
  <c r="G70" i="2"/>
  <c r="F70" i="2"/>
  <c r="E70" i="2"/>
  <c r="D70" i="2"/>
  <c r="C70" i="2"/>
  <c r="H68" i="2"/>
  <c r="G68" i="2"/>
  <c r="F68" i="2"/>
  <c r="E68" i="2"/>
  <c r="D68" i="2"/>
  <c r="C68" i="2"/>
  <c r="H66" i="2"/>
  <c r="G66" i="2"/>
  <c r="F66" i="2"/>
  <c r="E66" i="2"/>
  <c r="D66" i="2"/>
  <c r="C66" i="2"/>
  <c r="H59" i="2"/>
  <c r="G59" i="2"/>
  <c r="F59" i="2"/>
  <c r="E59" i="2"/>
  <c r="D59" i="2"/>
  <c r="C59" i="2"/>
  <c r="H55" i="2"/>
  <c r="G55" i="2"/>
  <c r="F55" i="2"/>
  <c r="E55" i="2"/>
  <c r="D55" i="2"/>
  <c r="C55" i="2"/>
  <c r="H44" i="2"/>
  <c r="G44" i="2"/>
  <c r="F44" i="2"/>
  <c r="E44" i="2"/>
  <c r="D44" i="2"/>
  <c r="C44" i="2"/>
  <c r="H15" i="2" l="1"/>
  <c r="G15" i="2"/>
  <c r="F15" i="2"/>
  <c r="E15" i="2"/>
  <c r="D15" i="2"/>
  <c r="C15" i="2"/>
  <c r="H28" i="2" l="1"/>
  <c r="G28" i="2"/>
  <c r="F28" i="2"/>
  <c r="F36" i="2" s="1"/>
  <c r="E28" i="2"/>
  <c r="E36" i="2" s="1"/>
  <c r="D28" i="2"/>
  <c r="C28" i="2"/>
  <c r="H36" i="2" l="1"/>
  <c r="C36" i="2"/>
  <c r="D36" i="2"/>
  <c r="G36" i="2"/>
  <c r="G38" i="2" s="1"/>
  <c r="H6" i="2"/>
  <c r="H23" i="2" s="1"/>
  <c r="G6" i="2"/>
  <c r="G23" i="2" s="1"/>
  <c r="F6" i="2"/>
  <c r="F23" i="2" s="1"/>
  <c r="F38" i="2" s="1"/>
  <c r="E6" i="2"/>
  <c r="E23" i="2" s="1"/>
  <c r="E38" i="2" s="1"/>
  <c r="D6" i="2"/>
  <c r="D23" i="2" s="1"/>
  <c r="C6" i="2"/>
  <c r="C23" i="2" s="1"/>
  <c r="D4" i="2"/>
  <c r="E4" i="2" s="1"/>
  <c r="F4" i="2" s="1"/>
  <c r="G4" i="2" s="1"/>
  <c r="H4" i="2" s="1"/>
  <c r="E5" i="7"/>
  <c r="F5" i="7" s="1"/>
  <c r="G5" i="7" s="1"/>
  <c r="H5" i="7" s="1"/>
  <c r="D5" i="7"/>
  <c r="D38" i="2" l="1"/>
  <c r="C38" i="2"/>
  <c r="H38" i="2"/>
  <c r="H18" i="7"/>
  <c r="H20" i="7" s="1"/>
  <c r="G18" i="7"/>
  <c r="G20" i="7" s="1"/>
  <c r="F18" i="7"/>
  <c r="F20" i="7" s="1"/>
  <c r="E18" i="7"/>
  <c r="E20" i="7" s="1"/>
  <c r="D18" i="7"/>
  <c r="D20" i="7" s="1"/>
  <c r="G25" i="7"/>
  <c r="F25" i="7"/>
  <c r="E25" i="7"/>
  <c r="D25" i="7"/>
  <c r="C25" i="7"/>
  <c r="H25" i="7"/>
  <c r="C18" i="7"/>
  <c r="C20" i="7" s="1"/>
  <c r="E27" i="7" l="1"/>
  <c r="E30" i="7" s="1"/>
  <c r="E36" i="7" s="1"/>
  <c r="E39" i="7" s="1"/>
  <c r="E41" i="7" s="1"/>
  <c r="D27" i="7"/>
  <c r="D30" i="7" s="1"/>
  <c r="D36" i="7" s="1"/>
  <c r="D39" i="7" s="1"/>
  <c r="D41" i="7" s="1"/>
  <c r="C27" i="7"/>
  <c r="C30" i="7" s="1"/>
  <c r="C36" i="7" s="1"/>
  <c r="C39" i="7" s="1"/>
  <c r="C41" i="7" s="1"/>
  <c r="H27" i="7" l="1"/>
  <c r="H30" i="7" s="1"/>
  <c r="H36" i="7" s="1"/>
  <c r="H39" i="7" s="1"/>
  <c r="H41" i="7" s="1"/>
  <c r="G27" i="7" l="1"/>
  <c r="G30" i="7" s="1"/>
  <c r="G36" i="7" s="1"/>
  <c r="G39" i="7" s="1"/>
  <c r="G41" i="7" s="1"/>
  <c r="F27" i="7"/>
  <c r="F30" i="7" s="1"/>
  <c r="F36" i="7" s="1"/>
  <c r="F39" i="7" s="1"/>
  <c r="F41" i="7" s="1"/>
</calcChain>
</file>

<file path=xl/sharedStrings.xml><?xml version="1.0" encoding="utf-8"?>
<sst xmlns="http://schemas.openxmlformats.org/spreadsheetml/2006/main" count="155" uniqueCount="143">
  <si>
    <t>Lease Liabilities</t>
  </si>
  <si>
    <t>Trade Payables</t>
  </si>
  <si>
    <t>Total Liabilities</t>
  </si>
  <si>
    <t>Investments</t>
  </si>
  <si>
    <t>Inventories</t>
  </si>
  <si>
    <t>Trade receivables</t>
  </si>
  <si>
    <t>Total Assets</t>
  </si>
  <si>
    <t>Investment properties</t>
  </si>
  <si>
    <t>Intangible assets under development</t>
  </si>
  <si>
    <t>Financial assets</t>
  </si>
  <si>
    <t>Income tax assets (net)</t>
  </si>
  <si>
    <t>Deferred tax assets (net)</t>
  </si>
  <si>
    <t>Other non-current assets</t>
  </si>
  <si>
    <t>Total non-current assets</t>
  </si>
  <si>
    <t>Other current assets</t>
  </si>
  <si>
    <t>Assets classified as held for sale</t>
  </si>
  <si>
    <t>Total current assets</t>
  </si>
  <si>
    <t>Non Current Assets</t>
  </si>
  <si>
    <t>Property , plant and equipment</t>
  </si>
  <si>
    <t>Capital work in progress</t>
  </si>
  <si>
    <t>Right-of-use-assets</t>
  </si>
  <si>
    <t>Current Assets</t>
  </si>
  <si>
    <t>Other Equity</t>
  </si>
  <si>
    <t>Non controlling interest</t>
  </si>
  <si>
    <t>Total Equity</t>
  </si>
  <si>
    <t>Non-current Liabilities</t>
  </si>
  <si>
    <t>Provisions</t>
  </si>
  <si>
    <t>Deferred tax liabilities (net)</t>
  </si>
  <si>
    <t>Other non-current liabilities</t>
  </si>
  <si>
    <t>Total non-current liabilities</t>
  </si>
  <si>
    <t>Current Liabilities</t>
  </si>
  <si>
    <t>Current tax liabilities (net)</t>
  </si>
  <si>
    <t>Other current liabilities</t>
  </si>
  <si>
    <t>Total Current Liabilities</t>
  </si>
  <si>
    <t>Total Equity &amp; Liabilities</t>
  </si>
  <si>
    <t>Change in inventory</t>
  </si>
  <si>
    <t>Cost of raw materials and components consumed</t>
  </si>
  <si>
    <t>Purchases of stock-in-trade</t>
  </si>
  <si>
    <t>Employee benefit expenses</t>
  </si>
  <si>
    <t>Finance costs</t>
  </si>
  <si>
    <t>Other expenses</t>
  </si>
  <si>
    <t>Share of net profit of associates and joint ventures</t>
  </si>
  <si>
    <t>Cash Flow from Operating Activities</t>
  </si>
  <si>
    <t>Share of asso and joint ventures</t>
  </si>
  <si>
    <t>Dep &amp; Amo expense</t>
  </si>
  <si>
    <t>Impairment of non-current assets</t>
  </si>
  <si>
    <t>Net loss/(gain) on current investments measured at FVTPL</t>
  </si>
  <si>
    <t>Loss/(gain) on sale of investment property (net)</t>
  </si>
  <si>
    <t>Trade and other receivable balances written off</t>
  </si>
  <si>
    <t>Liabilities written back</t>
  </si>
  <si>
    <t>Allowance for expected credit loss</t>
  </si>
  <si>
    <t>Allowance for doubtful loans</t>
  </si>
  <si>
    <t>Impairment losses on financial assets</t>
  </si>
  <si>
    <t>Finance income</t>
  </si>
  <si>
    <t>Interest on delay deposit of income tax</t>
  </si>
  <si>
    <t>Interest on lease liability</t>
  </si>
  <si>
    <t>Goodwill written off</t>
  </si>
  <si>
    <t>Operating profit before working capital changes</t>
  </si>
  <si>
    <t>Working capital adjustments:</t>
  </si>
  <si>
    <t>Cash generated from operations</t>
  </si>
  <si>
    <t>Income tax paid</t>
  </si>
  <si>
    <t>Net cash inflow from operating activities</t>
  </si>
  <si>
    <t>Cash flow from Investing activities</t>
  </si>
  <si>
    <t>Proceeds from sale of property, plant and equipment</t>
  </si>
  <si>
    <t>Purchase of property, plant and equipment and investment property</t>
  </si>
  <si>
    <t>Proceeds from sale / (Purchase of investment) in mutual funds</t>
  </si>
  <si>
    <t>Dividend received</t>
  </si>
  <si>
    <t>Loan to related parties (net)</t>
  </si>
  <si>
    <t>Loan to other parties (net)</t>
  </si>
  <si>
    <t>Bank deposit not considered as cash and cash equivalents (net)</t>
  </si>
  <si>
    <t>Investment in associates and joint ventures (net)</t>
  </si>
  <si>
    <t>Payment/ proceeds from investment properties (net)</t>
  </si>
  <si>
    <t>Interest received (finance income)</t>
  </si>
  <si>
    <t>Net cash inflow/(outflow) from investing activities</t>
  </si>
  <si>
    <t>Cash flow from Financing activities</t>
  </si>
  <si>
    <t>Finance cost</t>
  </si>
  <si>
    <t>Proceeds from Current borrowings</t>
  </si>
  <si>
    <t>Proceeds from Non-Current borrowings</t>
  </si>
  <si>
    <t>Repayment of Current borrowings</t>
  </si>
  <si>
    <t>Repayment of Non-Current borrowings</t>
  </si>
  <si>
    <t>Payment of principal portion of lease liabilities</t>
  </si>
  <si>
    <t>Dividend and tax paid thereon to equity holders of parent company</t>
  </si>
  <si>
    <t>Net cash inflow/(outflow) from financing activities</t>
  </si>
  <si>
    <t>Net increase in cash and cash equivalents</t>
  </si>
  <si>
    <t>Net foreign exchange difference</t>
  </si>
  <si>
    <t>Add: Pursuant to acquisition/ disposal of control in subsidiaries</t>
  </si>
  <si>
    <t>Cash and cash equivalents at the beginning of the year</t>
  </si>
  <si>
    <t>Cash and cash equivalents at year end</t>
  </si>
  <si>
    <t>Components of cash and cash equivalents</t>
  </si>
  <si>
    <t>Balances with banks</t>
  </si>
  <si>
    <t>- on current Account</t>
  </si>
  <si>
    <t>- on deposit account</t>
  </si>
  <si>
    <t>Cash on hand</t>
  </si>
  <si>
    <t>Cheques on hand</t>
  </si>
  <si>
    <t>Consideration paid for investment in subsidiary</t>
  </si>
  <si>
    <t>Assets written off</t>
  </si>
  <si>
    <t>Purchase of other Intangible Assets</t>
  </si>
  <si>
    <t>Purchase of inv measured at FVTPL / FVTOCI</t>
  </si>
  <si>
    <t>Purchase of Right of Use of Asset</t>
  </si>
  <si>
    <t>Payment of interest portion of lease liabilities</t>
  </si>
  <si>
    <t>Transaction with non controlling interest , Pursuant to acquisition/ disposal of control in subsidiaries</t>
  </si>
  <si>
    <t>Total cash and cash equivalents</t>
  </si>
  <si>
    <t>Cost of Goods Sold</t>
  </si>
  <si>
    <t>Expenses:</t>
  </si>
  <si>
    <t>Total Cost of Goods Sold</t>
  </si>
  <si>
    <t>Gross Profit</t>
  </si>
  <si>
    <t>SG&amp;A Expenses (Excluding Depreciaion &amp; Interest)</t>
  </si>
  <si>
    <t>Total SG&amp;A Expenses</t>
  </si>
  <si>
    <t>Earnings Before Interest Tax &amp; Depreciation (EBITDA)</t>
  </si>
  <si>
    <t>Less: Depreciation &amp; Amortization</t>
  </si>
  <si>
    <t>Earnings Before Interest &amp; Tax  (EBIT)</t>
  </si>
  <si>
    <t>Less: Finance Cost</t>
  </si>
  <si>
    <t>Revenue from Operations (Net)</t>
  </si>
  <si>
    <t>Add: Other Income</t>
  </si>
  <si>
    <t>Profit Before Tax</t>
  </si>
  <si>
    <t>Profit Before Tax &amp; Exceptional Item</t>
  </si>
  <si>
    <t>Less: Tax Expenses</t>
  </si>
  <si>
    <t>Profit After Tax</t>
  </si>
  <si>
    <t>Particulars</t>
  </si>
  <si>
    <t>Fixed Assets</t>
  </si>
  <si>
    <t>Intangible assets</t>
  </si>
  <si>
    <t>Loans</t>
  </si>
  <si>
    <t>Other financial assets</t>
  </si>
  <si>
    <t>Bank balances other than above</t>
  </si>
  <si>
    <t>Cash and cash equivalents</t>
  </si>
  <si>
    <t>Investment in associates and joint ventures</t>
  </si>
  <si>
    <t>Share Capital</t>
  </si>
  <si>
    <t>Total Stockholder's equity</t>
  </si>
  <si>
    <t>EQUITY &amp; LIABILITIES</t>
  </si>
  <si>
    <t>Borrowings</t>
  </si>
  <si>
    <t>Other financial liabilities</t>
  </si>
  <si>
    <t>Other Current Liabilities</t>
  </si>
  <si>
    <t>#</t>
  </si>
  <si>
    <t>PnL in Forex</t>
  </si>
  <si>
    <t>Dividend Income</t>
  </si>
  <si>
    <t>PnL on disposal of PP&amp;E (Net)</t>
  </si>
  <si>
    <t>Trade Receivables</t>
  </si>
  <si>
    <t xml:space="preserve">Financial Asset </t>
  </si>
  <si>
    <t>Other Asset</t>
  </si>
  <si>
    <t>Trade Payable</t>
  </si>
  <si>
    <t>Other Financial Liability</t>
  </si>
  <si>
    <t>Other Liability</t>
  </si>
  <si>
    <t>Revenue Growth YoY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</si>
</sst>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;\(#,##0\);\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0" fillId="0" borderId="0" xfId="0" applyFont="1"/>
    <xf numFmtId="2" fontId="0" fillId="0" borderId="0" xfId="0" applyNumberFormat="1"/>
    <xf numFmtId="2" fontId="1" fillId="0" borderId="0" xfId="0" applyNumberFormat="1" applyFont="1"/>
    <xf numFmtId="0" fontId="0" fillId="0" borderId="0" xfId="0" applyAlignment="1">
      <alignment horizontal="left" indent="2"/>
    </xf>
    <xf numFmtId="0" fontId="1" fillId="0" borderId="0" xfId="0" applyFont="1" applyAlignment="1">
      <alignment horizontal="left"/>
    </xf>
    <xf numFmtId="164" fontId="0" fillId="0" borderId="0" xfId="0" applyNumberFormat="1" applyAlignment="1"/>
    <xf numFmtId="0" fontId="1" fillId="0" borderId="0" xfId="0" applyFont="1" applyBorder="1" applyAlignment="1">
      <alignment horizontal="left"/>
    </xf>
    <xf numFmtId="164" fontId="1" fillId="0" borderId="0" xfId="0" applyNumberFormat="1" applyFont="1" applyBorder="1" applyAlignment="1"/>
    <xf numFmtId="164" fontId="1" fillId="0" borderId="0" xfId="0" applyNumberFormat="1" applyFont="1" applyAlignment="1"/>
    <xf numFmtId="0" fontId="0" fillId="0" borderId="0" xfId="0" applyAlignment="1">
      <alignment horizontal="left"/>
    </xf>
    <xf numFmtId="164" fontId="0" fillId="0" borderId="0" xfId="0" applyNumberFormat="1" applyFont="1" applyAlignment="1"/>
    <xf numFmtId="0" fontId="1" fillId="0" borderId="1" xfId="0" applyFont="1" applyBorder="1"/>
    <xf numFmtId="164" fontId="1" fillId="0" borderId="1" xfId="0" applyNumberFormat="1" applyFont="1" applyBorder="1" applyAlignment="1"/>
    <xf numFmtId="0" fontId="2" fillId="2" borderId="0" xfId="0" applyFont="1" applyFill="1"/>
    <xf numFmtId="164" fontId="0" fillId="0" borderId="0" xfId="0" applyNumberFormat="1"/>
    <xf numFmtId="164" fontId="0" fillId="0" borderId="0" xfId="0" applyNumberFormat="1" applyAlignment="1">
      <alignment horizontal="right"/>
    </xf>
    <xf numFmtId="164" fontId="0" fillId="0" borderId="0" xfId="0" applyNumberFormat="1" applyFont="1"/>
    <xf numFmtId="164" fontId="1" fillId="0" borderId="0" xfId="0" applyNumberFormat="1" applyFont="1"/>
    <xf numFmtId="164" fontId="1" fillId="0" borderId="1" xfId="0" applyNumberFormat="1" applyFont="1" applyBorder="1"/>
    <xf numFmtId="0" fontId="0" fillId="0" borderId="0" xfId="0" applyAlignment="1">
      <alignment horizontal="left" indent="1"/>
    </xf>
    <xf numFmtId="0" fontId="0" fillId="0" borderId="0" xfId="0" applyFont="1" applyAlignment="1">
      <alignment horizontal="left"/>
    </xf>
    <xf numFmtId="0" fontId="1" fillId="0" borderId="0" xfId="0" applyFont="1" applyBorder="1"/>
    <xf numFmtId="164" fontId="1" fillId="0" borderId="0" xfId="0" applyNumberFormat="1" applyFont="1" applyBorder="1"/>
    <xf numFmtId="164" fontId="4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/>
    <xf numFmtId="1" fontId="1" fillId="0" borderId="0" xfId="0" applyNumberFormat="1" applyFont="1" applyAlignment="1"/>
    <xf numFmtId="0" fontId="0" fillId="3" borderId="0" xfId="0" applyFill="1"/>
    <xf numFmtId="0" fontId="2" fillId="3" borderId="0" xfId="0" applyFont="1" applyFill="1"/>
    <xf numFmtId="9" fontId="3" fillId="0" borderId="0" xfId="1" applyFont="1" applyAlignment="1"/>
    <xf numFmtId="0" fontId="5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colors>
    <mruColors>
      <color rgb="FF807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2"/>
  <sheetViews>
    <sheetView showGridLines="0" tabSelected="1" zoomScaleNormal="100" workbookViewId="0">
      <selection activeCell="C9" sqref="C9"/>
    </sheetView>
  </sheetViews>
  <sheetFormatPr defaultRowHeight="14.4" x14ac:dyDescent="0.3"/>
  <cols>
    <col min="2" max="2" width="60.6640625" bestFit="1" customWidth="1"/>
    <col min="3" max="4" width="13.109375" bestFit="1" customWidth="1"/>
    <col min="5" max="5" width="10.44140625" customWidth="1"/>
    <col min="6" max="6" width="9.44140625" bestFit="1" customWidth="1"/>
    <col min="7" max="7" width="10" bestFit="1" customWidth="1"/>
    <col min="8" max="8" width="11" bestFit="1" customWidth="1"/>
  </cols>
  <sheetData>
    <row r="1" spans="2:10" x14ac:dyDescent="0.3">
      <c r="J1">
        <v>-1</v>
      </c>
    </row>
    <row r="4" spans="2:10" x14ac:dyDescent="0.3">
      <c r="C4" s="1"/>
      <c r="D4" s="1"/>
      <c r="E4" s="1"/>
      <c r="F4" s="1"/>
      <c r="G4" s="1"/>
      <c r="H4" s="1"/>
    </row>
    <row r="5" spans="2:10" x14ac:dyDescent="0.3">
      <c r="B5" s="15" t="s">
        <v>118</v>
      </c>
      <c r="C5" s="15">
        <v>2019</v>
      </c>
      <c r="D5" s="15">
        <f t="shared" ref="D5" si="0">C5+1</f>
        <v>2020</v>
      </c>
      <c r="E5" s="15">
        <f t="shared" ref="E5" si="1">D5+1</f>
        <v>2021</v>
      </c>
      <c r="F5" s="15">
        <f t="shared" ref="F5" si="2">E5+1</f>
        <v>2022</v>
      </c>
      <c r="G5" s="15">
        <f t="shared" ref="G5" si="3">F5+1</f>
        <v>2023</v>
      </c>
      <c r="H5" s="15">
        <f t="shared" ref="H5" si="4">G5+1</f>
        <v>2024</v>
      </c>
    </row>
    <row r="7" spans="2:10" x14ac:dyDescent="0.3">
      <c r="B7" s="6" t="s">
        <v>112</v>
      </c>
      <c r="C7" s="10">
        <v>497997.61</v>
      </c>
      <c r="D7" s="10">
        <v>587186.85</v>
      </c>
      <c r="E7" s="10">
        <v>622389.81999999995</v>
      </c>
      <c r="F7" s="10">
        <v>778155.51</v>
      </c>
      <c r="G7" s="10">
        <v>874943.3</v>
      </c>
      <c r="H7" s="10">
        <v>1033477.46</v>
      </c>
    </row>
    <row r="8" spans="2:10" x14ac:dyDescent="0.3">
      <c r="B8" s="6"/>
      <c r="C8" s="10"/>
      <c r="D8" s="10"/>
      <c r="E8" s="10"/>
      <c r="F8" s="10"/>
      <c r="G8" s="10"/>
      <c r="H8" s="10"/>
    </row>
    <row r="9" spans="2:10" x14ac:dyDescent="0.3">
      <c r="B9" s="32" t="s">
        <v>142</v>
      </c>
      <c r="C9" s="10"/>
      <c r="D9" s="31">
        <f>D7/C7-1</f>
        <v>0.17909571895334997</v>
      </c>
      <c r="E9" s="31">
        <f t="shared" ref="E9:H9" si="5">E7/D7-1</f>
        <v>5.9951904576882153E-2</v>
      </c>
      <c r="F9" s="31">
        <f t="shared" si="5"/>
        <v>0.25027030487098911</v>
      </c>
      <c r="G9" s="31">
        <f t="shared" si="5"/>
        <v>0.12438103792389787</v>
      </c>
      <c r="H9" s="31">
        <f t="shared" si="5"/>
        <v>0.18119363849063119</v>
      </c>
    </row>
    <row r="10" spans="2:10" x14ac:dyDescent="0.3">
      <c r="B10" s="6"/>
      <c r="C10" s="10"/>
      <c r="D10" s="10"/>
      <c r="E10" s="10"/>
      <c r="F10" s="10"/>
      <c r="G10" s="10"/>
      <c r="H10" s="10"/>
    </row>
    <row r="11" spans="2:10" x14ac:dyDescent="0.3">
      <c r="B11" s="6"/>
      <c r="C11" s="7"/>
      <c r="D11" s="7"/>
      <c r="E11" s="7"/>
      <c r="F11" s="7"/>
      <c r="G11" s="7"/>
      <c r="H11" s="7"/>
    </row>
    <row r="12" spans="2:10" x14ac:dyDescent="0.3">
      <c r="B12" s="1" t="s">
        <v>103</v>
      </c>
      <c r="C12" s="7"/>
      <c r="D12" s="7"/>
      <c r="E12" s="7"/>
      <c r="F12" s="7"/>
      <c r="G12" s="7"/>
      <c r="H12" s="7"/>
    </row>
    <row r="13" spans="2:10" ht="6.6" customHeight="1" x14ac:dyDescent="0.3">
      <c r="B13" s="1"/>
      <c r="C13" s="7"/>
      <c r="D13" s="7"/>
      <c r="E13" s="7"/>
      <c r="F13" s="7"/>
      <c r="G13" s="7"/>
      <c r="H13" s="7"/>
    </row>
    <row r="14" spans="2:10" x14ac:dyDescent="0.3">
      <c r="B14" s="1" t="s">
        <v>102</v>
      </c>
      <c r="C14" s="7"/>
      <c r="D14" s="7"/>
      <c r="E14" s="7"/>
      <c r="F14" s="7"/>
      <c r="G14" s="7"/>
      <c r="H14" s="7"/>
    </row>
    <row r="15" spans="2:10" x14ac:dyDescent="0.3">
      <c r="B15" t="s">
        <v>36</v>
      </c>
      <c r="C15" s="7">
        <v>-93227.56</v>
      </c>
      <c r="D15" s="7">
        <v>-129732.17</v>
      </c>
      <c r="E15" s="7">
        <v>-137317.89000000001</v>
      </c>
      <c r="F15" s="7">
        <v>-205756.16</v>
      </c>
      <c r="G15" s="7">
        <v>-181366.35</v>
      </c>
      <c r="H15" s="7">
        <v>-185351.59</v>
      </c>
    </row>
    <row r="16" spans="2:10" x14ac:dyDescent="0.3">
      <c r="B16" t="s">
        <v>37</v>
      </c>
      <c r="C16" s="7">
        <v>-77713.39</v>
      </c>
      <c r="D16" s="7">
        <v>-59120.53</v>
      </c>
      <c r="E16" s="7">
        <v>-65482.45</v>
      </c>
      <c r="F16" s="7">
        <v>-81375.44</v>
      </c>
      <c r="G16" s="7">
        <v>-80923.759999999995</v>
      </c>
      <c r="H16" s="7">
        <v>-140985.10999999999</v>
      </c>
    </row>
    <row r="17" spans="2:8" x14ac:dyDescent="0.3">
      <c r="B17" t="s">
        <v>35</v>
      </c>
      <c r="C17" s="7">
        <v>-1192.82</v>
      </c>
      <c r="D17" s="7">
        <v>1045.5899999999999</v>
      </c>
      <c r="E17" s="7">
        <v>24739.42</v>
      </c>
      <c r="F17" s="7">
        <v>44958.76</v>
      </c>
      <c r="G17" s="7">
        <v>-29074.09</v>
      </c>
      <c r="H17" s="7">
        <v>5367.11</v>
      </c>
    </row>
    <row r="18" spans="2:8" s="1" customFormat="1" ht="15" thickBot="1" x14ac:dyDescent="0.35">
      <c r="B18" s="13" t="s">
        <v>104</v>
      </c>
      <c r="C18" s="14">
        <f>SUM(C15:C17)</f>
        <v>-172133.77000000002</v>
      </c>
      <c r="D18" s="14">
        <f t="shared" ref="D18:H18" si="6">SUM(D15:D17)</f>
        <v>-187807.11000000002</v>
      </c>
      <c r="E18" s="14">
        <f t="shared" si="6"/>
        <v>-178060.92000000004</v>
      </c>
      <c r="F18" s="14">
        <f t="shared" si="6"/>
        <v>-242172.83999999997</v>
      </c>
      <c r="G18" s="14">
        <f t="shared" si="6"/>
        <v>-291364.2</v>
      </c>
      <c r="H18" s="14">
        <f t="shared" si="6"/>
        <v>-320969.58999999997</v>
      </c>
    </row>
    <row r="19" spans="2:8" s="1" customFormat="1" x14ac:dyDescent="0.3">
      <c r="B19" s="8"/>
      <c r="C19" s="9"/>
      <c r="D19" s="9"/>
      <c r="E19" s="9"/>
      <c r="F19" s="9"/>
      <c r="G19" s="9"/>
      <c r="H19" s="9"/>
    </row>
    <row r="20" spans="2:8" s="1" customFormat="1" x14ac:dyDescent="0.3">
      <c r="B20" s="8" t="s">
        <v>105</v>
      </c>
      <c r="C20" s="9">
        <f t="shared" ref="C20:G20" si="7">SUM(C7,C18)</f>
        <v>325863.83999999997</v>
      </c>
      <c r="D20" s="9">
        <f t="shared" si="7"/>
        <v>399379.74</v>
      </c>
      <c r="E20" s="9">
        <f t="shared" si="7"/>
        <v>444328.89999999991</v>
      </c>
      <c r="F20" s="9">
        <f t="shared" si="7"/>
        <v>535982.67000000004</v>
      </c>
      <c r="G20" s="9">
        <f t="shared" si="7"/>
        <v>583579.10000000009</v>
      </c>
      <c r="H20" s="9">
        <f>SUM(H7,H18)</f>
        <v>712507.87</v>
      </c>
    </row>
    <row r="21" spans="2:8" s="1" customFormat="1" x14ac:dyDescent="0.3">
      <c r="B21" s="8"/>
      <c r="C21" s="9"/>
      <c r="D21" s="9"/>
      <c r="E21" s="9"/>
      <c r="F21" s="9"/>
      <c r="G21" s="9"/>
      <c r="H21" s="9"/>
    </row>
    <row r="22" spans="2:8" s="1" customFormat="1" x14ac:dyDescent="0.3">
      <c r="B22" s="8" t="s">
        <v>106</v>
      </c>
      <c r="C22" s="9"/>
      <c r="D22" s="9"/>
      <c r="E22" s="9"/>
      <c r="F22" s="9"/>
      <c r="G22" s="9"/>
      <c r="H22" s="9"/>
    </row>
    <row r="23" spans="2:8" x14ac:dyDescent="0.3">
      <c r="B23" t="s">
        <v>38</v>
      </c>
      <c r="C23" s="7">
        <v>-109478.58</v>
      </c>
      <c r="D23" s="7">
        <v>-133552.66</v>
      </c>
      <c r="E23" s="7">
        <v>-141578.31</v>
      </c>
      <c r="F23" s="7">
        <v>-162059.32999999999</v>
      </c>
      <c r="G23" s="7">
        <v>-191847.15</v>
      </c>
      <c r="H23" s="7">
        <v>-227473.12</v>
      </c>
    </row>
    <row r="24" spans="2:8" x14ac:dyDescent="0.3">
      <c r="B24" t="s">
        <v>40</v>
      </c>
      <c r="C24" s="7">
        <v>-123939.13</v>
      </c>
      <c r="D24" s="7">
        <v>-112424.52</v>
      </c>
      <c r="E24" s="7">
        <v>-136993.62</v>
      </c>
      <c r="F24" s="7">
        <v>-174988.05</v>
      </c>
      <c r="G24" s="7">
        <v>-201668.29</v>
      </c>
      <c r="H24" s="7">
        <v>-231527.54</v>
      </c>
    </row>
    <row r="25" spans="2:8" ht="15" thickBot="1" x14ac:dyDescent="0.35">
      <c r="B25" s="13" t="s">
        <v>107</v>
      </c>
      <c r="C25" s="14">
        <f t="shared" ref="C25:G25" si="8">SUM(C23:C24)</f>
        <v>-233417.71000000002</v>
      </c>
      <c r="D25" s="14">
        <f t="shared" si="8"/>
        <v>-245977.18</v>
      </c>
      <c r="E25" s="14">
        <f t="shared" si="8"/>
        <v>-278571.93</v>
      </c>
      <c r="F25" s="14">
        <f t="shared" si="8"/>
        <v>-337047.38</v>
      </c>
      <c r="G25" s="14">
        <f t="shared" si="8"/>
        <v>-393515.44</v>
      </c>
      <c r="H25" s="14">
        <f>SUM(H23:H24)</f>
        <v>-459000.66000000003</v>
      </c>
    </row>
    <row r="26" spans="2:8" x14ac:dyDescent="0.3">
      <c r="C26" s="7"/>
      <c r="D26" s="7"/>
      <c r="E26" s="7"/>
      <c r="F26" s="7"/>
      <c r="G26" s="7"/>
      <c r="H26" s="7"/>
    </row>
    <row r="27" spans="2:8" x14ac:dyDescent="0.3">
      <c r="B27" s="1" t="s">
        <v>108</v>
      </c>
      <c r="C27" s="10">
        <f>C20+C25</f>
        <v>92446.129999999946</v>
      </c>
      <c r="D27" s="10">
        <f t="shared" ref="D27:H27" si="9">D20+D25</f>
        <v>153402.56</v>
      </c>
      <c r="E27" s="10">
        <f t="shared" si="9"/>
        <v>165756.96999999991</v>
      </c>
      <c r="F27" s="10">
        <f t="shared" si="9"/>
        <v>198935.29000000004</v>
      </c>
      <c r="G27" s="10">
        <f t="shared" si="9"/>
        <v>190063.66000000009</v>
      </c>
      <c r="H27" s="10">
        <f t="shared" si="9"/>
        <v>253507.20999999996</v>
      </c>
    </row>
    <row r="28" spans="2:8" x14ac:dyDescent="0.3">
      <c r="B28" s="1"/>
      <c r="C28" s="10"/>
      <c r="D28" s="10"/>
      <c r="E28" s="10"/>
      <c r="F28" s="10"/>
      <c r="G28" s="10"/>
      <c r="H28" s="10"/>
    </row>
    <row r="29" spans="2:8" x14ac:dyDescent="0.3">
      <c r="B29" t="s">
        <v>109</v>
      </c>
      <c r="C29" s="7">
        <v>-6903.44</v>
      </c>
      <c r="D29" s="7">
        <v>-9905.84</v>
      </c>
      <c r="E29" s="7">
        <v>-11897.03</v>
      </c>
      <c r="F29" s="7">
        <v>-16661.919999999998</v>
      </c>
      <c r="G29" s="7">
        <v>-32591.95</v>
      </c>
      <c r="H29" s="7">
        <v>-39825.370000000003</v>
      </c>
    </row>
    <row r="30" spans="2:8" ht="15" thickBot="1" x14ac:dyDescent="0.35">
      <c r="B30" s="13" t="s">
        <v>110</v>
      </c>
      <c r="C30" s="14">
        <f>C27+C29</f>
        <v>85542.689999999944</v>
      </c>
      <c r="D30" s="14">
        <f t="shared" ref="D30:H30" si="10">D27+D29</f>
        <v>143496.72</v>
      </c>
      <c r="E30" s="14">
        <f t="shared" si="10"/>
        <v>153859.93999999992</v>
      </c>
      <c r="F30" s="14">
        <f t="shared" si="10"/>
        <v>182273.37000000005</v>
      </c>
      <c r="G30" s="14">
        <f t="shared" si="10"/>
        <v>157471.71000000008</v>
      </c>
      <c r="H30" s="14">
        <f t="shared" si="10"/>
        <v>213681.83999999997</v>
      </c>
    </row>
    <row r="31" spans="2:8" x14ac:dyDescent="0.3">
      <c r="C31" s="7"/>
      <c r="D31" s="7"/>
      <c r="E31" s="7"/>
      <c r="F31" s="7"/>
      <c r="G31" s="7"/>
      <c r="H31" s="7"/>
    </row>
    <row r="32" spans="2:8" x14ac:dyDescent="0.3">
      <c r="C32" s="7"/>
      <c r="D32" s="7"/>
      <c r="E32" s="7"/>
      <c r="F32" s="7"/>
      <c r="G32" s="7"/>
      <c r="H32" s="7"/>
    </row>
    <row r="33" spans="2:12" x14ac:dyDescent="0.3">
      <c r="B33" t="s">
        <v>111</v>
      </c>
      <c r="C33" s="7">
        <v>-4303.24</v>
      </c>
      <c r="D33" s="7">
        <v>-2197.1799999999998</v>
      </c>
      <c r="E33" s="7">
        <v>-2014.74</v>
      </c>
      <c r="F33" s="7">
        <v>-5861.04</v>
      </c>
      <c r="G33" s="7">
        <v>-4446.8999999999996</v>
      </c>
      <c r="H33" s="7">
        <v>-3353.16</v>
      </c>
    </row>
    <row r="34" spans="2:12" x14ac:dyDescent="0.3">
      <c r="B34" s="11" t="s">
        <v>113</v>
      </c>
      <c r="C34" s="7">
        <v>5291.88</v>
      </c>
      <c r="D34" s="7">
        <v>10378.44</v>
      </c>
      <c r="E34" s="7">
        <v>16148.21</v>
      </c>
      <c r="F34" s="7">
        <v>19602.96</v>
      </c>
      <c r="G34" s="7">
        <v>12856.68</v>
      </c>
      <c r="H34" s="7">
        <v>28085.79</v>
      </c>
    </row>
    <row r="35" spans="2:12" x14ac:dyDescent="0.3">
      <c r="B35" s="11"/>
      <c r="C35" s="7"/>
      <c r="D35" s="7"/>
      <c r="E35" s="7"/>
      <c r="F35" s="7"/>
      <c r="G35" s="7"/>
      <c r="H35" s="7"/>
    </row>
    <row r="36" spans="2:12" s="1" customFormat="1" x14ac:dyDescent="0.3">
      <c r="B36" s="6" t="s">
        <v>115</v>
      </c>
      <c r="C36" s="10">
        <f>SUM(C30:C34)</f>
        <v>86531.329999999944</v>
      </c>
      <c r="D36" s="10">
        <f t="shared" ref="D36:H36" si="11">SUM(D30:D34)</f>
        <v>151677.98000000001</v>
      </c>
      <c r="E36" s="10">
        <f t="shared" si="11"/>
        <v>167993.40999999992</v>
      </c>
      <c r="F36" s="10">
        <f t="shared" si="11"/>
        <v>196015.29000000004</v>
      </c>
      <c r="G36" s="10">
        <f t="shared" si="11"/>
        <v>165881.49000000008</v>
      </c>
      <c r="H36" s="10">
        <f t="shared" si="11"/>
        <v>238414.46999999997</v>
      </c>
    </row>
    <row r="37" spans="2:12" x14ac:dyDescent="0.3">
      <c r="B37" t="s">
        <v>41</v>
      </c>
      <c r="C37" s="7">
        <v>993.8</v>
      </c>
      <c r="D37" s="7">
        <v>1153.52</v>
      </c>
      <c r="E37" s="7">
        <v>1167.71</v>
      </c>
      <c r="F37" s="7">
        <v>1444.77</v>
      </c>
      <c r="G37" s="7">
        <v>1242.42</v>
      </c>
      <c r="H37" s="7">
        <v>1521.35</v>
      </c>
    </row>
    <row r="38" spans="2:12" x14ac:dyDescent="0.3">
      <c r="C38" s="7"/>
      <c r="D38" s="7"/>
      <c r="E38" s="7"/>
      <c r="F38" s="7"/>
      <c r="G38" s="7"/>
      <c r="H38" s="7"/>
    </row>
    <row r="39" spans="2:12" x14ac:dyDescent="0.3">
      <c r="B39" s="1" t="s">
        <v>114</v>
      </c>
      <c r="C39" s="10">
        <f>C36-C37</f>
        <v>85537.529999999941</v>
      </c>
      <c r="D39" s="10">
        <f t="shared" ref="D39:H39" si="12">D36-D37</f>
        <v>150524.46000000002</v>
      </c>
      <c r="E39" s="10">
        <f t="shared" si="12"/>
        <v>166825.69999999992</v>
      </c>
      <c r="F39" s="10">
        <f t="shared" si="12"/>
        <v>194570.52000000005</v>
      </c>
      <c r="G39" s="10">
        <f t="shared" si="12"/>
        <v>164639.07000000007</v>
      </c>
      <c r="H39" s="10">
        <f t="shared" si="12"/>
        <v>236893.11999999997</v>
      </c>
    </row>
    <row r="40" spans="2:12" x14ac:dyDescent="0.3">
      <c r="B40" s="2" t="s">
        <v>116</v>
      </c>
      <c r="C40" s="12">
        <v>-26412.07</v>
      </c>
      <c r="D40" s="12">
        <v>-38159.49</v>
      </c>
      <c r="E40" s="12">
        <v>-39858.39</v>
      </c>
      <c r="F40" s="12">
        <v>-52164.35</v>
      </c>
      <c r="G40" s="12">
        <v>-36156.33</v>
      </c>
      <c r="H40" s="12">
        <v>-45758.65</v>
      </c>
    </row>
    <row r="41" spans="2:12" ht="15" thickBot="1" x14ac:dyDescent="0.35">
      <c r="B41" s="13" t="s">
        <v>117</v>
      </c>
      <c r="C41" s="14">
        <f>SUM(C39:C40)</f>
        <v>59125.459999999941</v>
      </c>
      <c r="D41" s="14">
        <f t="shared" ref="D41:H41" si="13">SUM(D39:D40)</f>
        <v>112364.97000000003</v>
      </c>
      <c r="E41" s="14">
        <f t="shared" si="13"/>
        <v>126967.30999999992</v>
      </c>
      <c r="F41" s="14">
        <f t="shared" si="13"/>
        <v>142406.17000000004</v>
      </c>
      <c r="G41" s="14">
        <f t="shared" si="13"/>
        <v>128482.74000000006</v>
      </c>
      <c r="H41" s="14">
        <f t="shared" si="13"/>
        <v>191134.46999999997</v>
      </c>
    </row>
    <row r="44" spans="2:12" s="2" customFormat="1" x14ac:dyDescent="0.3">
      <c r="B44"/>
      <c r="C44"/>
      <c r="D44"/>
      <c r="E44"/>
      <c r="F44"/>
      <c r="G44"/>
      <c r="H44"/>
      <c r="I44"/>
      <c r="J44"/>
      <c r="K44"/>
      <c r="L44"/>
    </row>
    <row r="52" spans="2:12" s="1" customFormat="1" x14ac:dyDescent="0.3">
      <c r="B52"/>
      <c r="C52"/>
      <c r="D52"/>
      <c r="E52"/>
      <c r="F52"/>
      <c r="G52"/>
      <c r="H52"/>
      <c r="I52"/>
      <c r="J52"/>
      <c r="K52"/>
      <c r="L5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73"/>
  <sheetViews>
    <sheetView showGridLines="0" zoomScaleNormal="100" workbookViewId="0">
      <pane ySplit="4" topLeftCell="A38" activePane="bottomLeft" state="frozen"/>
      <selection pane="bottomLeft" activeCell="C4" sqref="C4"/>
    </sheetView>
  </sheetViews>
  <sheetFormatPr defaultRowHeight="14.4" x14ac:dyDescent="0.3"/>
  <cols>
    <col min="2" max="2" width="36.109375" bestFit="1" customWidth="1"/>
    <col min="3" max="5" width="10.5546875" bestFit="1" customWidth="1"/>
    <col min="6" max="6" width="9.5546875" bestFit="1" customWidth="1"/>
    <col min="7" max="7" width="10" bestFit="1" customWidth="1"/>
    <col min="8" max="8" width="11.109375" bestFit="1" customWidth="1"/>
    <col min="9" max="9" width="10.5546875" bestFit="1" customWidth="1"/>
  </cols>
  <sheetData>
    <row r="3" spans="1:9" x14ac:dyDescent="0.3">
      <c r="C3" s="1"/>
      <c r="D3" s="1"/>
      <c r="E3" s="1"/>
      <c r="F3" s="1"/>
      <c r="G3" s="1"/>
      <c r="H3" s="1"/>
    </row>
    <row r="4" spans="1:9" x14ac:dyDescent="0.3">
      <c r="A4" s="1"/>
      <c r="B4" s="15" t="s">
        <v>118</v>
      </c>
      <c r="C4" s="15">
        <v>2019</v>
      </c>
      <c r="D4" s="15">
        <f t="shared" ref="D4:H4" si="0">C4+1</f>
        <v>2020</v>
      </c>
      <c r="E4" s="15">
        <f t="shared" si="0"/>
        <v>2021</v>
      </c>
      <c r="F4" s="15">
        <f t="shared" si="0"/>
        <v>2022</v>
      </c>
      <c r="G4" s="15">
        <f t="shared" si="0"/>
        <v>2023</v>
      </c>
      <c r="H4" s="15">
        <f t="shared" si="0"/>
        <v>2024</v>
      </c>
    </row>
    <row r="5" spans="1:9" x14ac:dyDescent="0.3">
      <c r="A5" s="1"/>
      <c r="B5" s="1" t="s">
        <v>17</v>
      </c>
    </row>
    <row r="6" spans="1:9" x14ac:dyDescent="0.3">
      <c r="A6" s="1"/>
      <c r="B6" s="1" t="s">
        <v>119</v>
      </c>
      <c r="C6" s="19">
        <f>SUM(C7:C13)</f>
        <v>195336.19</v>
      </c>
      <c r="D6" s="19">
        <f t="shared" ref="D6:H6" si="1">SUM(D7:D13)</f>
        <v>208092.97000000003</v>
      </c>
      <c r="E6" s="19">
        <f t="shared" si="1"/>
        <v>220218.15999999997</v>
      </c>
      <c r="F6" s="19">
        <f t="shared" si="1"/>
        <v>445741.58999999997</v>
      </c>
      <c r="G6" s="19">
        <f t="shared" si="1"/>
        <v>498221.11999999994</v>
      </c>
      <c r="H6" s="19">
        <f t="shared" si="1"/>
        <v>501634.45</v>
      </c>
    </row>
    <row r="7" spans="1:9" x14ac:dyDescent="0.3">
      <c r="B7" t="s">
        <v>18</v>
      </c>
      <c r="C7" s="16">
        <v>135213.38</v>
      </c>
      <c r="D7" s="16">
        <v>155134.41</v>
      </c>
      <c r="E7" s="16">
        <v>162007.07</v>
      </c>
      <c r="F7" s="16">
        <v>165236.29999999999</v>
      </c>
      <c r="G7" s="16">
        <v>240943.43</v>
      </c>
      <c r="H7" s="16">
        <v>281253.15999999997</v>
      </c>
      <c r="I7" s="3"/>
    </row>
    <row r="8" spans="1:9" x14ac:dyDescent="0.3">
      <c r="B8" t="s">
        <v>19</v>
      </c>
      <c r="C8" s="16">
        <v>32680.29</v>
      </c>
      <c r="D8" s="16">
        <v>31325.86</v>
      </c>
      <c r="E8" s="16">
        <v>37161.620000000003</v>
      </c>
      <c r="F8" s="16">
        <v>66987.34</v>
      </c>
      <c r="G8" s="16">
        <v>49319.199999999997</v>
      </c>
      <c r="H8" s="16">
        <v>20709.39</v>
      </c>
      <c r="I8" s="3"/>
    </row>
    <row r="9" spans="1:9" x14ac:dyDescent="0.3">
      <c r="B9" t="s">
        <v>20</v>
      </c>
      <c r="C9" s="17">
        <v>0</v>
      </c>
      <c r="D9" s="17">
        <v>0</v>
      </c>
      <c r="E9" s="17">
        <v>0</v>
      </c>
      <c r="F9" s="16">
        <v>6735.71</v>
      </c>
      <c r="G9" s="16">
        <v>11436.47</v>
      </c>
      <c r="H9" s="16">
        <v>11906.13</v>
      </c>
      <c r="I9" s="3"/>
    </row>
    <row r="10" spans="1:9" x14ac:dyDescent="0.3">
      <c r="B10" t="s">
        <v>120</v>
      </c>
      <c r="C10" s="25">
        <v>4732.21</v>
      </c>
      <c r="D10" s="25">
        <v>4269.4399999999996</v>
      </c>
      <c r="E10" s="25">
        <v>3887.08</v>
      </c>
      <c r="F10" s="25">
        <v>186305.74</v>
      </c>
      <c r="G10" s="25">
        <v>172148.58</v>
      </c>
      <c r="H10" s="25">
        <v>160836.22</v>
      </c>
      <c r="I10" s="3"/>
    </row>
    <row r="11" spans="1:9" x14ac:dyDescent="0.3">
      <c r="B11" t="s">
        <v>7</v>
      </c>
      <c r="C11" s="16">
        <v>1039.07</v>
      </c>
      <c r="D11" s="16">
        <v>555.82000000000005</v>
      </c>
      <c r="E11" s="16">
        <v>550.35</v>
      </c>
      <c r="F11" s="16">
        <v>542.42999999999995</v>
      </c>
      <c r="G11" s="16">
        <v>536.96</v>
      </c>
      <c r="H11" s="16">
        <v>531.49</v>
      </c>
      <c r="I11" s="3"/>
    </row>
    <row r="12" spans="1:9" x14ac:dyDescent="0.3">
      <c r="B12" t="s">
        <v>8</v>
      </c>
      <c r="C12" s="16">
        <v>107.06</v>
      </c>
      <c r="D12" s="16">
        <v>369.46</v>
      </c>
      <c r="E12" s="16">
        <v>33.36</v>
      </c>
      <c r="F12" s="16">
        <v>3159.79</v>
      </c>
      <c r="G12" s="16">
        <v>5695.36</v>
      </c>
      <c r="H12" s="16">
        <v>7469.92</v>
      </c>
      <c r="I12" s="3"/>
    </row>
    <row r="13" spans="1:9" x14ac:dyDescent="0.3">
      <c r="B13" t="s">
        <v>125</v>
      </c>
      <c r="C13" s="16">
        <v>21564.18</v>
      </c>
      <c r="D13" s="16">
        <v>16437.98</v>
      </c>
      <c r="E13" s="16">
        <v>16578.68</v>
      </c>
      <c r="F13" s="16">
        <v>16774.28</v>
      </c>
      <c r="G13" s="16">
        <v>18141.12</v>
      </c>
      <c r="H13" s="16">
        <v>18928.14</v>
      </c>
      <c r="I13" s="3"/>
    </row>
    <row r="14" spans="1:9" x14ac:dyDescent="0.3">
      <c r="C14" s="16"/>
      <c r="D14" s="16"/>
      <c r="E14" s="16"/>
      <c r="F14" s="16"/>
      <c r="G14" s="16"/>
      <c r="H14" s="16"/>
      <c r="I14" s="3"/>
    </row>
    <row r="15" spans="1:9" x14ac:dyDescent="0.3">
      <c r="B15" s="1" t="s">
        <v>9</v>
      </c>
      <c r="C15" s="19">
        <f>SUM(C16:C18)</f>
        <v>2703.58</v>
      </c>
      <c r="D15" s="19">
        <f t="shared" ref="D15:H15" si="2">SUM(D16:D18)</f>
        <v>3104.1699999999996</v>
      </c>
      <c r="E15" s="19">
        <f t="shared" si="2"/>
        <v>6251.5499999999993</v>
      </c>
      <c r="F15" s="19">
        <f t="shared" si="2"/>
        <v>9022.0300000000007</v>
      </c>
      <c r="G15" s="19">
        <f t="shared" si="2"/>
        <v>19971.87</v>
      </c>
      <c r="H15" s="19">
        <f t="shared" si="2"/>
        <v>15002.05</v>
      </c>
      <c r="I15" s="3"/>
    </row>
    <row r="16" spans="1:9" x14ac:dyDescent="0.3">
      <c r="B16" t="s">
        <v>3</v>
      </c>
      <c r="C16" s="16">
        <v>1.75</v>
      </c>
      <c r="D16" s="16">
        <v>1.25</v>
      </c>
      <c r="E16" s="16">
        <v>4001.25</v>
      </c>
      <c r="F16" s="16">
        <v>6726.5</v>
      </c>
      <c r="G16" s="16">
        <v>8953.73</v>
      </c>
      <c r="H16" s="16">
        <v>12052.48</v>
      </c>
      <c r="I16" s="3"/>
    </row>
    <row r="17" spans="1:10" x14ac:dyDescent="0.3">
      <c r="B17" t="s">
        <v>121</v>
      </c>
      <c r="C17" s="16">
        <v>7.2</v>
      </c>
      <c r="D17" s="16">
        <v>9.93</v>
      </c>
      <c r="E17" s="16">
        <v>7.43</v>
      </c>
      <c r="F17" s="16">
        <v>2.88</v>
      </c>
      <c r="G17" s="16">
        <v>0</v>
      </c>
      <c r="H17" s="16">
        <v>0</v>
      </c>
      <c r="I17" s="3"/>
    </row>
    <row r="18" spans="1:10" x14ac:dyDescent="0.3">
      <c r="B18" t="s">
        <v>122</v>
      </c>
      <c r="C18" s="16">
        <v>2694.63</v>
      </c>
      <c r="D18" s="16">
        <v>3092.99</v>
      </c>
      <c r="E18" s="16">
        <v>2242.87</v>
      </c>
      <c r="F18" s="16">
        <v>2292.65</v>
      </c>
      <c r="G18" s="16">
        <v>11018.14</v>
      </c>
      <c r="H18" s="16">
        <v>2949.57</v>
      </c>
      <c r="I18" s="3"/>
    </row>
    <row r="19" spans="1:10" x14ac:dyDescent="0.3">
      <c r="C19" s="16"/>
      <c r="D19" s="16"/>
      <c r="E19" s="16"/>
      <c r="F19" s="16"/>
      <c r="G19" s="16"/>
      <c r="H19" s="16"/>
      <c r="I19" s="3"/>
    </row>
    <row r="20" spans="1:10" x14ac:dyDescent="0.3">
      <c r="B20" s="1" t="s">
        <v>12</v>
      </c>
      <c r="C20" s="16">
        <v>3551.11</v>
      </c>
      <c r="D20" s="16">
        <v>3664.62</v>
      </c>
      <c r="E20" s="16">
        <v>9667.66</v>
      </c>
      <c r="F20" s="16">
        <v>7418.43</v>
      </c>
      <c r="G20" s="16">
        <v>7335.5</v>
      </c>
      <c r="H20" s="16">
        <v>6628.11</v>
      </c>
      <c r="I20" s="3"/>
    </row>
    <row r="21" spans="1:10" x14ac:dyDescent="0.3">
      <c r="B21" t="s">
        <v>10</v>
      </c>
      <c r="C21" s="16">
        <v>6950.53</v>
      </c>
      <c r="D21" s="16">
        <v>5451.16</v>
      </c>
      <c r="E21" s="16">
        <v>5560.56</v>
      </c>
      <c r="F21" s="16">
        <v>7982.42</v>
      </c>
      <c r="G21" s="16">
        <v>10251.530000000001</v>
      </c>
      <c r="H21" s="16">
        <v>8198.39</v>
      </c>
      <c r="I21" s="3"/>
    </row>
    <row r="22" spans="1:10" x14ac:dyDescent="0.3">
      <c r="B22" t="s">
        <v>11</v>
      </c>
      <c r="C22" s="16">
        <v>2889.47</v>
      </c>
      <c r="D22" s="16">
        <v>4793.16</v>
      </c>
      <c r="E22" s="16">
        <v>4901.1000000000004</v>
      </c>
      <c r="F22" s="16">
        <v>3928.62</v>
      </c>
      <c r="G22" s="16">
        <v>2977.69</v>
      </c>
      <c r="H22" s="16">
        <v>8039.75</v>
      </c>
      <c r="I22" s="3"/>
    </row>
    <row r="23" spans="1:10" ht="15" thickBot="1" x14ac:dyDescent="0.35">
      <c r="B23" s="13" t="s">
        <v>13</v>
      </c>
      <c r="C23" s="20">
        <f>SUM(C6,C15,C20:C22)</f>
        <v>211430.87999999998</v>
      </c>
      <c r="D23" s="20">
        <f t="shared" ref="D23:H23" si="3">SUM(D6,D15,D20:D22)</f>
        <v>225106.08000000005</v>
      </c>
      <c r="E23" s="20">
        <f t="shared" si="3"/>
        <v>246599.02999999997</v>
      </c>
      <c r="F23" s="20">
        <f t="shared" si="3"/>
        <v>474093.08999999997</v>
      </c>
      <c r="G23" s="20">
        <f t="shared" si="3"/>
        <v>538757.71</v>
      </c>
      <c r="H23" s="20">
        <f t="shared" si="3"/>
        <v>539502.75</v>
      </c>
      <c r="I23" s="4"/>
      <c r="J23" s="16"/>
    </row>
    <row r="24" spans="1:10" x14ac:dyDescent="0.3">
      <c r="B24" s="1"/>
      <c r="C24" s="19"/>
      <c r="D24" s="19"/>
      <c r="E24" s="19"/>
      <c r="F24" s="19"/>
      <c r="G24" s="19"/>
      <c r="H24" s="19"/>
      <c r="I24" s="4"/>
    </row>
    <row r="25" spans="1:10" x14ac:dyDescent="0.3">
      <c r="A25" s="1"/>
      <c r="B25" s="1" t="s">
        <v>21</v>
      </c>
      <c r="C25" s="16"/>
      <c r="D25" s="16"/>
      <c r="E25" s="16"/>
      <c r="F25" s="16"/>
      <c r="G25" s="16"/>
      <c r="H25" s="16"/>
      <c r="I25" s="3"/>
    </row>
    <row r="26" spans="1:10" x14ac:dyDescent="0.3">
      <c r="B26" t="s">
        <v>4</v>
      </c>
      <c r="C26" s="16">
        <v>82098.53</v>
      </c>
      <c r="D26" s="16">
        <v>89913.45</v>
      </c>
      <c r="E26" s="16">
        <v>118353.77</v>
      </c>
      <c r="F26" s="16">
        <v>176023.81</v>
      </c>
      <c r="G26" s="16">
        <v>149845.82</v>
      </c>
      <c r="H26" s="16">
        <v>155346.12</v>
      </c>
      <c r="I26" s="3"/>
    </row>
    <row r="27" spans="1:10" x14ac:dyDescent="0.3">
      <c r="B27" s="11" t="s">
        <v>5</v>
      </c>
      <c r="C27" s="16">
        <v>22021.88</v>
      </c>
      <c r="D27" s="16">
        <v>53109.2</v>
      </c>
      <c r="E27" s="16">
        <v>33061.129999999997</v>
      </c>
      <c r="F27" s="16">
        <v>38816.6</v>
      </c>
      <c r="G27" s="16">
        <v>57642.14</v>
      </c>
      <c r="H27" s="16">
        <v>84828.12</v>
      </c>
      <c r="I27" s="3"/>
    </row>
    <row r="28" spans="1:10" x14ac:dyDescent="0.3">
      <c r="B28" s="6" t="s">
        <v>14</v>
      </c>
      <c r="C28" s="19">
        <f>SUM(C29:C32)</f>
        <v>27263.289999999997</v>
      </c>
      <c r="D28" s="19">
        <f t="shared" ref="D28:H28" si="4">SUM(D29:D32)</f>
        <v>30707.629999999997</v>
      </c>
      <c r="E28" s="19">
        <f t="shared" si="4"/>
        <v>38556.99</v>
      </c>
      <c r="F28" s="19">
        <f t="shared" si="4"/>
        <v>97801.09</v>
      </c>
      <c r="G28" s="19">
        <f t="shared" si="4"/>
        <v>72431.97</v>
      </c>
      <c r="H28" s="19">
        <f t="shared" si="4"/>
        <v>71040.12</v>
      </c>
      <c r="I28" s="3"/>
    </row>
    <row r="29" spans="1:10" x14ac:dyDescent="0.3">
      <c r="B29" s="21" t="s">
        <v>121</v>
      </c>
      <c r="C29" s="16">
        <v>3162.02</v>
      </c>
      <c r="D29" s="16">
        <v>3449.79</v>
      </c>
      <c r="E29" s="16">
        <v>1841.14</v>
      </c>
      <c r="F29" s="16">
        <v>119.44</v>
      </c>
      <c r="G29" s="16">
        <v>163.26</v>
      </c>
      <c r="H29" s="16">
        <v>286.2</v>
      </c>
      <c r="I29" s="3"/>
    </row>
    <row r="30" spans="1:10" x14ac:dyDescent="0.3">
      <c r="B30" s="21" t="s">
        <v>122</v>
      </c>
      <c r="C30" s="16">
        <v>366.43</v>
      </c>
      <c r="D30" s="16">
        <v>448.69</v>
      </c>
      <c r="E30" s="16">
        <v>999.12</v>
      </c>
      <c r="F30" s="16">
        <v>1393.71</v>
      </c>
      <c r="G30" s="16">
        <v>5597.97</v>
      </c>
      <c r="H30" s="16">
        <v>1316.04</v>
      </c>
      <c r="I30" s="3"/>
    </row>
    <row r="31" spans="1:10" x14ac:dyDescent="0.3">
      <c r="B31" s="21" t="s">
        <v>15</v>
      </c>
      <c r="C31" s="16">
        <v>5496.58</v>
      </c>
      <c r="D31" s="16">
        <v>271.05</v>
      </c>
      <c r="E31" s="16">
        <v>270.2</v>
      </c>
      <c r="F31" s="16">
        <v>298.16000000000003</v>
      </c>
      <c r="G31" s="16">
        <v>331.56</v>
      </c>
      <c r="H31" s="16">
        <v>270.2</v>
      </c>
      <c r="I31" s="3"/>
    </row>
    <row r="32" spans="1:10" x14ac:dyDescent="0.3">
      <c r="B32" s="21" t="s">
        <v>14</v>
      </c>
      <c r="C32" s="16">
        <v>18238.259999999998</v>
      </c>
      <c r="D32" s="16">
        <v>26538.1</v>
      </c>
      <c r="E32" s="16">
        <v>35446.53</v>
      </c>
      <c r="F32" s="16">
        <v>95989.78</v>
      </c>
      <c r="G32" s="16">
        <v>66339.179999999993</v>
      </c>
      <c r="H32" s="16">
        <v>69167.679999999993</v>
      </c>
      <c r="I32" s="3"/>
    </row>
    <row r="33" spans="1:9" x14ac:dyDescent="0.3">
      <c r="B33" s="11" t="s">
        <v>3</v>
      </c>
      <c r="C33" s="16">
        <v>54326.66</v>
      </c>
      <c r="D33" s="16">
        <v>66503.25</v>
      </c>
      <c r="E33" s="16">
        <v>130617.41</v>
      </c>
      <c r="F33" s="16">
        <v>87446.18</v>
      </c>
      <c r="G33" s="16">
        <v>107547.41</v>
      </c>
      <c r="H33" s="16">
        <v>225811.14</v>
      </c>
      <c r="I33" s="3"/>
    </row>
    <row r="34" spans="1:9" x14ac:dyDescent="0.3">
      <c r="B34" s="11" t="s">
        <v>124</v>
      </c>
      <c r="C34" s="16">
        <v>11639.03</v>
      </c>
      <c r="D34" s="16">
        <v>22607.53</v>
      </c>
      <c r="E34" s="16">
        <v>16718.2</v>
      </c>
      <c r="F34" s="16">
        <v>30253.47</v>
      </c>
      <c r="G34" s="16">
        <v>30482.07</v>
      </c>
      <c r="H34" s="16">
        <v>38200.75</v>
      </c>
      <c r="I34" s="3"/>
    </row>
    <row r="35" spans="1:9" x14ac:dyDescent="0.3">
      <c r="B35" s="11" t="s">
        <v>123</v>
      </c>
      <c r="C35" s="16">
        <v>2462.11</v>
      </c>
      <c r="D35" s="16">
        <v>19380.2</v>
      </c>
      <c r="E35" s="16">
        <v>53355.98</v>
      </c>
      <c r="F35" s="16">
        <v>10340.68</v>
      </c>
      <c r="G35" s="16">
        <v>14837.79</v>
      </c>
      <c r="H35" s="16">
        <v>81596.37</v>
      </c>
      <c r="I35" s="3"/>
    </row>
    <row r="36" spans="1:9" ht="15" thickBot="1" x14ac:dyDescent="0.35">
      <c r="B36" s="13" t="s">
        <v>16</v>
      </c>
      <c r="C36" s="20">
        <f>SUM(C26:C28,C33:C35)</f>
        <v>199811.5</v>
      </c>
      <c r="D36" s="20">
        <f t="shared" ref="D36:H36" si="5">SUM(D26:D28,D33:D35)</f>
        <v>282221.26</v>
      </c>
      <c r="E36" s="20">
        <f t="shared" si="5"/>
        <v>390663.48</v>
      </c>
      <c r="F36" s="20">
        <f t="shared" si="5"/>
        <v>440681.83</v>
      </c>
      <c r="G36" s="20">
        <f t="shared" si="5"/>
        <v>432787.20000000007</v>
      </c>
      <c r="H36" s="20">
        <f t="shared" si="5"/>
        <v>656822.62</v>
      </c>
      <c r="I36" s="4"/>
    </row>
    <row r="37" spans="1:9" x14ac:dyDescent="0.3">
      <c r="B37" s="23"/>
      <c r="C37" s="24"/>
      <c r="D37" s="24"/>
      <c r="E37" s="24"/>
      <c r="F37" s="24"/>
      <c r="G37" s="24"/>
      <c r="H37" s="24"/>
      <c r="I37" s="4"/>
    </row>
    <row r="38" spans="1:9" x14ac:dyDescent="0.3">
      <c r="B38" s="23" t="s">
        <v>6</v>
      </c>
      <c r="C38" s="24">
        <f>SUM(C36,C23)</f>
        <v>411242.38</v>
      </c>
      <c r="D38" s="24">
        <f t="shared" ref="D38:H38" si="6">SUM(D36,D23)</f>
        <v>507327.34000000008</v>
      </c>
      <c r="E38" s="24">
        <f t="shared" si="6"/>
        <v>637262.51</v>
      </c>
      <c r="F38" s="24">
        <f t="shared" si="6"/>
        <v>914774.91999999993</v>
      </c>
      <c r="G38" s="24">
        <f t="shared" si="6"/>
        <v>971544.91</v>
      </c>
      <c r="H38" s="24">
        <f t="shared" si="6"/>
        <v>1196325.3700000001</v>
      </c>
      <c r="I38" s="4"/>
    </row>
    <row r="39" spans="1:9" x14ac:dyDescent="0.3">
      <c r="C39" s="16"/>
      <c r="D39" s="16"/>
      <c r="E39" s="16"/>
      <c r="F39" s="16"/>
      <c r="G39" s="16"/>
      <c r="H39" s="16"/>
      <c r="I39" s="3"/>
    </row>
    <row r="40" spans="1:9" x14ac:dyDescent="0.3">
      <c r="A40" s="1"/>
      <c r="B40" s="1" t="s">
        <v>128</v>
      </c>
      <c r="C40" s="16"/>
      <c r="D40" s="16"/>
      <c r="E40" s="16"/>
      <c r="F40" s="16"/>
      <c r="G40" s="16"/>
      <c r="H40" s="16"/>
      <c r="I40" s="3"/>
    </row>
    <row r="41" spans="1:9" x14ac:dyDescent="0.3">
      <c r="A41" s="1"/>
      <c r="C41" s="16"/>
      <c r="D41" s="16"/>
      <c r="E41" s="16"/>
      <c r="F41" s="16"/>
      <c r="G41" s="16"/>
      <c r="H41" s="16"/>
      <c r="I41" s="3"/>
    </row>
    <row r="42" spans="1:9" x14ac:dyDescent="0.3">
      <c r="B42" t="s">
        <v>126</v>
      </c>
      <c r="C42" s="16">
        <v>4005.88</v>
      </c>
      <c r="D42" s="16">
        <v>4005.88</v>
      </c>
      <c r="E42" s="16">
        <v>4005.88</v>
      </c>
      <c r="F42" s="16">
        <v>4005.88</v>
      </c>
      <c r="G42" s="16">
        <v>4005.88</v>
      </c>
      <c r="H42" s="16">
        <v>4005.88</v>
      </c>
      <c r="I42" s="3"/>
    </row>
    <row r="43" spans="1:9" x14ac:dyDescent="0.3">
      <c r="B43" t="s">
        <v>22</v>
      </c>
      <c r="C43" s="16">
        <v>278299.13</v>
      </c>
      <c r="D43" s="16">
        <v>344525.14</v>
      </c>
      <c r="E43" s="16">
        <v>468194.5</v>
      </c>
      <c r="F43" s="16">
        <v>611517.32999999996</v>
      </c>
      <c r="G43" s="16">
        <v>739516.4</v>
      </c>
      <c r="H43" s="16">
        <v>932302.93</v>
      </c>
      <c r="I43" s="3"/>
    </row>
    <row r="44" spans="1:9" x14ac:dyDescent="0.3">
      <c r="B44" s="1" t="s">
        <v>127</v>
      </c>
      <c r="C44" s="19">
        <f>C42+C43</f>
        <v>282305.01</v>
      </c>
      <c r="D44" s="19">
        <f t="shared" ref="D44:H44" si="7">D42+D43</f>
        <v>348531.02</v>
      </c>
      <c r="E44" s="19">
        <f t="shared" si="7"/>
        <v>472200.38</v>
      </c>
      <c r="F44" s="19">
        <f t="shared" si="7"/>
        <v>615523.21</v>
      </c>
      <c r="G44" s="19">
        <f t="shared" si="7"/>
        <v>743522.28</v>
      </c>
      <c r="H44" s="19">
        <f t="shared" si="7"/>
        <v>936308.81</v>
      </c>
      <c r="I44" s="3"/>
    </row>
    <row r="45" spans="1:9" x14ac:dyDescent="0.3">
      <c r="B45" t="s">
        <v>23</v>
      </c>
      <c r="C45">
        <v>15862.26</v>
      </c>
      <c r="D45">
        <v>18626.11</v>
      </c>
      <c r="E45">
        <v>14088.74</v>
      </c>
      <c r="F45" s="3">
        <v>16107.99</v>
      </c>
      <c r="G45" s="3">
        <v>18807.009999999998</v>
      </c>
      <c r="H45" s="3">
        <v>21270</v>
      </c>
      <c r="I45" s="3"/>
    </row>
    <row r="46" spans="1:9" x14ac:dyDescent="0.3">
      <c r="B46" s="1"/>
      <c r="C46" s="19"/>
      <c r="D46" s="19"/>
      <c r="E46" s="19"/>
      <c r="F46" s="19"/>
      <c r="G46" s="19"/>
      <c r="H46" s="19"/>
      <c r="I46" s="3"/>
    </row>
    <row r="47" spans="1:9" ht="15" thickBot="1" x14ac:dyDescent="0.35">
      <c r="B47" s="13" t="s">
        <v>24</v>
      </c>
      <c r="C47" s="20">
        <f t="shared" ref="C47:H47" si="8">C44+C45</f>
        <v>298167.27</v>
      </c>
      <c r="D47" s="20">
        <f t="shared" si="8"/>
        <v>367157.13</v>
      </c>
      <c r="E47" s="20">
        <f t="shared" si="8"/>
        <v>486289.12</v>
      </c>
      <c r="F47" s="20">
        <f t="shared" si="8"/>
        <v>631631.19999999995</v>
      </c>
      <c r="G47" s="20">
        <f t="shared" si="8"/>
        <v>762329.29</v>
      </c>
      <c r="H47" s="20">
        <f>H44+H45</f>
        <v>957578.81</v>
      </c>
      <c r="I47" s="4"/>
    </row>
    <row r="48" spans="1:9" x14ac:dyDescent="0.3">
      <c r="B48" s="23"/>
      <c r="C48" s="24"/>
      <c r="D48" s="24"/>
      <c r="E48" s="24"/>
      <c r="F48" s="24"/>
      <c r="G48" s="24"/>
      <c r="H48" s="24"/>
      <c r="I48" s="4"/>
    </row>
    <row r="49" spans="2:9" x14ac:dyDescent="0.3">
      <c r="B49" s="1" t="s">
        <v>25</v>
      </c>
      <c r="C49" s="19"/>
      <c r="D49" s="19"/>
      <c r="E49" s="19"/>
      <c r="F49" s="16"/>
      <c r="G49" s="16"/>
      <c r="H49" s="16"/>
      <c r="I49" s="3"/>
    </row>
    <row r="50" spans="2:9" x14ac:dyDescent="0.3">
      <c r="B50" s="2" t="s">
        <v>129</v>
      </c>
      <c r="C50" s="18">
        <v>2511.19</v>
      </c>
      <c r="D50" s="18">
        <v>5819.27</v>
      </c>
      <c r="E50" s="18">
        <v>5741.99</v>
      </c>
      <c r="F50" s="16">
        <v>4919.3999999999996</v>
      </c>
      <c r="G50" s="16">
        <v>2314.65</v>
      </c>
      <c r="H50" s="16">
        <v>2486.77</v>
      </c>
      <c r="I50" s="3"/>
    </row>
    <row r="51" spans="2:9" x14ac:dyDescent="0.3">
      <c r="B51" s="2" t="s">
        <v>0</v>
      </c>
      <c r="C51" s="18">
        <v>100</v>
      </c>
      <c r="D51" s="18">
        <v>382.82</v>
      </c>
      <c r="E51" s="18">
        <v>551.04999999999995</v>
      </c>
      <c r="F51" s="16">
        <v>299</v>
      </c>
      <c r="G51" s="16">
        <v>517.79999999999995</v>
      </c>
      <c r="H51" s="16">
        <v>771.38</v>
      </c>
      <c r="I51" s="3"/>
    </row>
    <row r="52" spans="2:9" x14ac:dyDescent="0.3">
      <c r="B52" s="2" t="s">
        <v>26</v>
      </c>
      <c r="C52" s="18">
        <v>4491.6099999999997</v>
      </c>
      <c r="D52" s="18">
        <v>6300.49</v>
      </c>
      <c r="E52" s="18">
        <v>7224.43</v>
      </c>
      <c r="F52" s="16">
        <v>8000.43</v>
      </c>
      <c r="G52" s="16">
        <v>9788.8799999999992</v>
      </c>
      <c r="H52" s="16">
        <v>12312.46</v>
      </c>
      <c r="I52" s="3"/>
    </row>
    <row r="53" spans="2:9" x14ac:dyDescent="0.3">
      <c r="B53" s="2" t="s">
        <v>27</v>
      </c>
      <c r="C53" s="18">
        <v>2232.58</v>
      </c>
      <c r="D53" s="18">
        <v>816.65</v>
      </c>
      <c r="E53" s="18">
        <v>1303.19</v>
      </c>
      <c r="F53" s="16">
        <v>5562.06</v>
      </c>
      <c r="G53" s="16">
        <v>7731.21</v>
      </c>
      <c r="H53" s="16">
        <v>8906.92</v>
      </c>
      <c r="I53" s="3"/>
    </row>
    <row r="54" spans="2:9" x14ac:dyDescent="0.3">
      <c r="B54" s="2" t="s">
        <v>28</v>
      </c>
      <c r="C54" s="18">
        <v>1333.55</v>
      </c>
      <c r="D54" s="18">
        <v>1778.73</v>
      </c>
      <c r="E54" s="18">
        <v>788.69</v>
      </c>
      <c r="F54" s="16">
        <v>2015.42</v>
      </c>
      <c r="G54" s="16">
        <v>2549.46</v>
      </c>
      <c r="H54" s="16">
        <v>2296.15</v>
      </c>
      <c r="I54" s="3"/>
    </row>
    <row r="55" spans="2:9" x14ac:dyDescent="0.3">
      <c r="B55" s="1" t="s">
        <v>29</v>
      </c>
      <c r="C55" s="19">
        <f>SUM(C50:C54)</f>
        <v>10668.929999999998</v>
      </c>
      <c r="D55" s="19">
        <f t="shared" ref="D55:H55" si="9">SUM(D50:D54)</f>
        <v>15097.96</v>
      </c>
      <c r="E55" s="19">
        <f t="shared" si="9"/>
        <v>15609.350000000002</v>
      </c>
      <c r="F55" s="19">
        <f t="shared" si="9"/>
        <v>20796.309999999998</v>
      </c>
      <c r="G55" s="19">
        <f t="shared" si="9"/>
        <v>22901.999999999996</v>
      </c>
      <c r="H55" s="19">
        <f t="shared" si="9"/>
        <v>26773.68</v>
      </c>
      <c r="I55" s="4"/>
    </row>
    <row r="56" spans="2:9" x14ac:dyDescent="0.3">
      <c r="C56" s="16"/>
      <c r="D56" s="16"/>
      <c r="E56" s="16"/>
      <c r="F56" s="16"/>
      <c r="G56" s="16"/>
      <c r="H56" s="16"/>
      <c r="I56" s="3"/>
    </row>
    <row r="57" spans="2:9" x14ac:dyDescent="0.3">
      <c r="B57" s="1" t="s">
        <v>30</v>
      </c>
      <c r="C57" s="19"/>
      <c r="D57" s="19"/>
      <c r="E57" s="19"/>
      <c r="F57" s="16"/>
      <c r="G57" s="16"/>
      <c r="H57" s="16"/>
      <c r="I57" s="3"/>
    </row>
    <row r="58" spans="2:9" x14ac:dyDescent="0.3">
      <c r="B58" t="s">
        <v>1</v>
      </c>
      <c r="C58" s="16">
        <v>56196.9</v>
      </c>
      <c r="D58" s="16">
        <v>74511.010000000009</v>
      </c>
      <c r="E58" s="16">
        <v>66695.94</v>
      </c>
      <c r="F58" s="16">
        <v>107639.72</v>
      </c>
      <c r="G58" s="16">
        <v>100817.69</v>
      </c>
      <c r="H58" s="16">
        <v>110299.08</v>
      </c>
      <c r="I58" s="3"/>
    </row>
    <row r="59" spans="2:9" x14ac:dyDescent="0.3">
      <c r="B59" s="1" t="s">
        <v>131</v>
      </c>
      <c r="C59" s="19">
        <f>SUM(C60:C65)</f>
        <v>46209.279999999992</v>
      </c>
      <c r="D59" s="19">
        <f t="shared" ref="D59:H59" si="10">SUM(D60:D65)</f>
        <v>50561.960000000006</v>
      </c>
      <c r="E59" s="19">
        <f t="shared" si="10"/>
        <v>68668.100000000006</v>
      </c>
      <c r="F59" s="19">
        <f t="shared" si="10"/>
        <v>154706.69</v>
      </c>
      <c r="G59" s="19">
        <f t="shared" si="10"/>
        <v>85495.930000000008</v>
      </c>
      <c r="H59" s="19">
        <f t="shared" si="10"/>
        <v>101673.9</v>
      </c>
      <c r="I59" s="3"/>
    </row>
    <row r="60" spans="2:9" x14ac:dyDescent="0.3">
      <c r="B60" s="2" t="s">
        <v>129</v>
      </c>
      <c r="C60" s="18">
        <v>24146.41</v>
      </c>
      <c r="D60" s="18">
        <v>4428.0200000000004</v>
      </c>
      <c r="E60" s="18">
        <v>15860.39</v>
      </c>
      <c r="F60" s="16">
        <v>81883.320000000007</v>
      </c>
      <c r="G60" s="16">
        <v>13948.99</v>
      </c>
      <c r="H60" s="16">
        <v>17116.810000000001</v>
      </c>
      <c r="I60" s="3"/>
    </row>
    <row r="61" spans="2:9" x14ac:dyDescent="0.3">
      <c r="B61" t="s">
        <v>0</v>
      </c>
      <c r="C61" s="16">
        <v>0</v>
      </c>
      <c r="D61" s="16">
        <v>0</v>
      </c>
      <c r="E61" s="16">
        <v>0</v>
      </c>
      <c r="F61" s="16">
        <v>205.72</v>
      </c>
      <c r="G61" s="16">
        <v>255.65</v>
      </c>
      <c r="H61" s="16">
        <v>342.28</v>
      </c>
      <c r="I61" s="3"/>
    </row>
    <row r="62" spans="2:9" x14ac:dyDescent="0.3">
      <c r="B62" t="s">
        <v>130</v>
      </c>
      <c r="C62" s="16">
        <v>6992.28</v>
      </c>
      <c r="D62" s="16">
        <v>12058.57</v>
      </c>
      <c r="E62" s="16">
        <v>18358.689999999999</v>
      </c>
      <c r="F62" s="16">
        <v>22148.9</v>
      </c>
      <c r="G62" s="16">
        <v>23649.18</v>
      </c>
      <c r="H62" s="16">
        <v>23554.91</v>
      </c>
      <c r="I62" s="3"/>
    </row>
    <row r="63" spans="2:9" x14ac:dyDescent="0.3">
      <c r="B63" t="s">
        <v>26</v>
      </c>
      <c r="C63" s="16">
        <v>10301.94</v>
      </c>
      <c r="D63" s="16">
        <v>21567.040000000001</v>
      </c>
      <c r="E63" s="16">
        <v>23421.85</v>
      </c>
      <c r="F63" s="16">
        <v>26450.26</v>
      </c>
      <c r="G63" s="16">
        <v>30763.040000000001</v>
      </c>
      <c r="H63" s="16">
        <v>38930.720000000001</v>
      </c>
      <c r="I63" s="3"/>
    </row>
    <row r="64" spans="2:9" x14ac:dyDescent="0.3">
      <c r="B64" t="s">
        <v>31</v>
      </c>
      <c r="C64" s="16">
        <v>107.59</v>
      </c>
      <c r="D64" s="16">
        <v>6562.24</v>
      </c>
      <c r="E64" s="16">
        <v>1108.47</v>
      </c>
      <c r="F64" s="16">
        <v>1508.96</v>
      </c>
      <c r="G64" s="16">
        <v>4625.55</v>
      </c>
      <c r="H64" s="16">
        <v>4637.87</v>
      </c>
      <c r="I64" s="3"/>
    </row>
    <row r="65" spans="2:9" x14ac:dyDescent="0.3">
      <c r="B65" t="s">
        <v>32</v>
      </c>
      <c r="C65" s="16">
        <v>4661.0600000000004</v>
      </c>
      <c r="D65" s="16">
        <v>5946.09</v>
      </c>
      <c r="E65" s="16">
        <v>9918.7000000000007</v>
      </c>
      <c r="F65" s="16">
        <v>22509.53</v>
      </c>
      <c r="G65" s="16">
        <v>12253.52</v>
      </c>
      <c r="H65" s="16">
        <v>17091.310000000001</v>
      </c>
      <c r="I65" s="3"/>
    </row>
    <row r="66" spans="2:9" x14ac:dyDescent="0.3">
      <c r="B66" s="1" t="s">
        <v>33</v>
      </c>
      <c r="C66" s="19">
        <f>SUM(C59,C58)</f>
        <v>102406.18</v>
      </c>
      <c r="D66" s="19">
        <f t="shared" ref="D66:H66" si="11">SUM(D59,D58)</f>
        <v>125072.97000000002</v>
      </c>
      <c r="E66" s="19">
        <f t="shared" si="11"/>
        <v>135364.04</v>
      </c>
      <c r="F66" s="19">
        <f t="shared" si="11"/>
        <v>262346.41000000003</v>
      </c>
      <c r="G66" s="19">
        <f t="shared" si="11"/>
        <v>186313.62</v>
      </c>
      <c r="H66" s="19">
        <f t="shared" si="11"/>
        <v>211972.97999999998</v>
      </c>
      <c r="I66" s="4"/>
    </row>
    <row r="67" spans="2:9" x14ac:dyDescent="0.3">
      <c r="B67" s="1"/>
      <c r="C67" s="19"/>
      <c r="D67" s="19"/>
      <c r="E67" s="19"/>
      <c r="F67" s="19"/>
      <c r="G67" s="19"/>
      <c r="H67" s="19"/>
      <c r="I67" s="4"/>
    </row>
    <row r="68" spans="2:9" x14ac:dyDescent="0.3">
      <c r="B68" s="1" t="s">
        <v>2</v>
      </c>
      <c r="C68" s="19">
        <f>SUM(C66,C55)</f>
        <v>113075.10999999999</v>
      </c>
      <c r="D68" s="19">
        <f t="shared" ref="D68:H68" si="12">SUM(D66,D55)</f>
        <v>140170.93000000002</v>
      </c>
      <c r="E68" s="19">
        <f t="shared" si="12"/>
        <v>150973.39000000001</v>
      </c>
      <c r="F68" s="19">
        <f t="shared" si="12"/>
        <v>283142.72000000003</v>
      </c>
      <c r="G68" s="19">
        <f t="shared" si="12"/>
        <v>209215.62</v>
      </c>
      <c r="H68" s="19">
        <f t="shared" si="12"/>
        <v>238746.65999999997</v>
      </c>
      <c r="I68" s="4"/>
    </row>
    <row r="69" spans="2:9" x14ac:dyDescent="0.3">
      <c r="B69" s="1"/>
      <c r="C69" s="19"/>
      <c r="D69" s="19"/>
      <c r="E69" s="19"/>
      <c r="F69" s="19"/>
      <c r="G69" s="19"/>
      <c r="H69" s="19"/>
      <c r="I69" s="4"/>
    </row>
    <row r="70" spans="2:9" x14ac:dyDescent="0.3">
      <c r="B70" s="1" t="s">
        <v>34</v>
      </c>
      <c r="C70" s="19">
        <f>SUM(C68,C47)</f>
        <v>411242.38</v>
      </c>
      <c r="D70" s="19">
        <f t="shared" ref="D70:H70" si="13">SUM(D68,D47)</f>
        <v>507328.06000000006</v>
      </c>
      <c r="E70" s="19">
        <f t="shared" si="13"/>
        <v>637262.51</v>
      </c>
      <c r="F70" s="19">
        <f t="shared" si="13"/>
        <v>914773.91999999993</v>
      </c>
      <c r="G70" s="19">
        <f t="shared" si="13"/>
        <v>971544.91</v>
      </c>
      <c r="H70" s="19">
        <f t="shared" si="13"/>
        <v>1196325.47</v>
      </c>
      <c r="I70" s="4"/>
    </row>
    <row r="73" spans="2:9" x14ac:dyDescent="0.3">
      <c r="F73" s="3"/>
      <c r="G73" s="3"/>
      <c r="H73" s="3"/>
      <c r="I7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87"/>
  <sheetViews>
    <sheetView showGridLines="0" zoomScaleNormal="100" workbookViewId="0">
      <pane ySplit="4" topLeftCell="A68" activePane="bottomLeft" state="frozen"/>
      <selection pane="bottomLeft" activeCell="H86" sqref="C86:H86"/>
    </sheetView>
  </sheetViews>
  <sheetFormatPr defaultRowHeight="14.4" x14ac:dyDescent="0.3"/>
  <cols>
    <col min="2" max="2" width="68.88671875" customWidth="1"/>
    <col min="3" max="3" width="9.33203125" bestFit="1" customWidth="1"/>
    <col min="4" max="6" width="10.44140625" bestFit="1" customWidth="1"/>
    <col min="7" max="7" width="11" bestFit="1" customWidth="1"/>
    <col min="8" max="8" width="10.44140625" bestFit="1" customWidth="1"/>
  </cols>
  <sheetData>
    <row r="3" spans="1:8" x14ac:dyDescent="0.3">
      <c r="B3" s="1"/>
    </row>
    <row r="4" spans="1:8" x14ac:dyDescent="0.3">
      <c r="B4" s="15" t="s">
        <v>118</v>
      </c>
      <c r="C4" s="15">
        <v>2019</v>
      </c>
      <c r="D4" s="15">
        <f t="shared" ref="D4:H4" si="0">C4+1</f>
        <v>2020</v>
      </c>
      <c r="E4" s="15">
        <f t="shared" si="0"/>
        <v>2021</v>
      </c>
      <c r="F4" s="15">
        <f t="shared" si="0"/>
        <v>2022</v>
      </c>
      <c r="G4" s="15">
        <f t="shared" si="0"/>
        <v>2023</v>
      </c>
      <c r="H4" s="15">
        <f t="shared" si="0"/>
        <v>2024</v>
      </c>
    </row>
    <row r="5" spans="1:8" s="29" customFormat="1" x14ac:dyDescent="0.3">
      <c r="B5" s="30"/>
      <c r="C5" s="30"/>
      <c r="D5" s="30"/>
      <c r="E5" s="30"/>
      <c r="F5" s="30"/>
      <c r="G5" s="30"/>
      <c r="H5" s="30"/>
    </row>
    <row r="6" spans="1:8" x14ac:dyDescent="0.3">
      <c r="A6" s="26" t="s">
        <v>132</v>
      </c>
      <c r="B6" s="1" t="s">
        <v>42</v>
      </c>
    </row>
    <row r="7" spans="1:8" x14ac:dyDescent="0.3">
      <c r="A7" s="26"/>
      <c r="B7" s="1"/>
    </row>
    <row r="8" spans="1:8" x14ac:dyDescent="0.3">
      <c r="B8" s="1" t="s">
        <v>114</v>
      </c>
      <c r="C8" s="28">
        <v>85537.529999999941</v>
      </c>
      <c r="D8" s="28">
        <v>150524.46000000002</v>
      </c>
      <c r="E8" s="28">
        <v>166825.69999999992</v>
      </c>
      <c r="F8" s="28">
        <v>194570.52000000005</v>
      </c>
      <c r="G8" s="28">
        <v>164639.07000000007</v>
      </c>
      <c r="H8" s="28">
        <v>236893.11999999997</v>
      </c>
    </row>
    <row r="9" spans="1:8" x14ac:dyDescent="0.3">
      <c r="B9" s="6"/>
      <c r="C9" s="27"/>
      <c r="D9" s="27"/>
      <c r="E9" s="27"/>
      <c r="F9" s="27"/>
      <c r="G9" s="27"/>
      <c r="H9" s="27"/>
    </row>
    <row r="10" spans="1:8" x14ac:dyDescent="0.3">
      <c r="B10" s="22" t="s">
        <v>43</v>
      </c>
      <c r="C10" s="7">
        <v>-993.8</v>
      </c>
      <c r="D10" s="7">
        <v>-1153.52</v>
      </c>
      <c r="E10" s="7">
        <v>-1167.71</v>
      </c>
      <c r="F10" s="7">
        <v>-1444.77</v>
      </c>
      <c r="G10" s="7">
        <v>-1242.42</v>
      </c>
      <c r="H10" s="7">
        <v>-1521.35</v>
      </c>
    </row>
    <row r="11" spans="1:8" x14ac:dyDescent="0.3">
      <c r="B11" s="22" t="s">
        <v>44</v>
      </c>
      <c r="C11" s="7">
        <v>6903.44</v>
      </c>
      <c r="D11" s="7">
        <v>9905.84</v>
      </c>
      <c r="E11" s="7">
        <v>11897.03</v>
      </c>
      <c r="F11" s="7">
        <v>16661.919999999998</v>
      </c>
      <c r="G11" s="7">
        <v>32591.95</v>
      </c>
      <c r="H11" s="7">
        <v>39825.370000000003</v>
      </c>
    </row>
    <row r="12" spans="1:8" x14ac:dyDescent="0.3">
      <c r="B12" s="11" t="s">
        <v>46</v>
      </c>
      <c r="C12" s="7">
        <v>-2957.72</v>
      </c>
      <c r="D12" s="7">
        <v>-3505.86</v>
      </c>
      <c r="E12" s="7">
        <v>-6286.49</v>
      </c>
      <c r="F12" s="7">
        <v>-8743.32</v>
      </c>
      <c r="G12" s="7">
        <v>-3743.1</v>
      </c>
      <c r="H12" s="7">
        <v>-13352.699999999999</v>
      </c>
    </row>
    <row r="13" spans="1:8" x14ac:dyDescent="0.3">
      <c r="B13" s="11" t="s">
        <v>134</v>
      </c>
      <c r="C13" s="7">
        <v>-31.42</v>
      </c>
      <c r="D13" s="7">
        <v>-428.25</v>
      </c>
      <c r="E13" s="7">
        <v>-42.47</v>
      </c>
      <c r="F13" s="7">
        <v>0.18000000000000002</v>
      </c>
      <c r="G13" s="7">
        <v>-0.24</v>
      </c>
      <c r="H13" s="7">
        <v>-0.24</v>
      </c>
    </row>
    <row r="14" spans="1:8" x14ac:dyDescent="0.3">
      <c r="B14" s="22" t="s">
        <v>133</v>
      </c>
      <c r="C14" s="7">
        <v>54.31</v>
      </c>
      <c r="D14" s="7">
        <v>102.5</v>
      </c>
      <c r="E14" s="7">
        <v>-50.24</v>
      </c>
      <c r="F14" s="7">
        <v>-469.32</v>
      </c>
      <c r="G14" s="7">
        <v>395.84</v>
      </c>
      <c r="H14" s="7">
        <v>-358.65</v>
      </c>
    </row>
    <row r="15" spans="1:8" x14ac:dyDescent="0.3">
      <c r="B15" s="11" t="s">
        <v>135</v>
      </c>
      <c r="C15" s="7">
        <v>128</v>
      </c>
      <c r="D15" s="7">
        <v>-193.78</v>
      </c>
      <c r="E15" s="7">
        <v>304.45</v>
      </c>
      <c r="F15" s="7">
        <v>374.34</v>
      </c>
      <c r="G15" s="7">
        <v>-166.49</v>
      </c>
      <c r="H15" s="7">
        <v>-48.01</v>
      </c>
    </row>
    <row r="16" spans="1:8" x14ac:dyDescent="0.3">
      <c r="B16" s="11" t="s">
        <v>95</v>
      </c>
      <c r="C16" s="7">
        <v>0</v>
      </c>
      <c r="D16" s="7">
        <v>0</v>
      </c>
      <c r="E16" s="7">
        <v>0</v>
      </c>
      <c r="F16" s="7">
        <v>576.29</v>
      </c>
      <c r="G16" s="7">
        <v>470.77</v>
      </c>
      <c r="H16" s="7">
        <v>469.14</v>
      </c>
    </row>
    <row r="17" spans="2:8" x14ac:dyDescent="0.3">
      <c r="B17" s="11" t="s">
        <v>47</v>
      </c>
      <c r="C17" s="7">
        <v>-66.16</v>
      </c>
      <c r="D17" s="7">
        <v>-901.58</v>
      </c>
      <c r="E17" s="7">
        <v>0</v>
      </c>
      <c r="F17" s="7">
        <v>-0.2</v>
      </c>
      <c r="G17" s="7">
        <v>0</v>
      </c>
      <c r="H17" s="7">
        <v>0</v>
      </c>
    </row>
    <row r="18" spans="2:8" x14ac:dyDescent="0.3">
      <c r="B18" s="11" t="s">
        <v>48</v>
      </c>
      <c r="C18" s="7">
        <v>124.77</v>
      </c>
      <c r="D18" s="7">
        <v>61.22</v>
      </c>
      <c r="E18" s="12">
        <v>55.35</v>
      </c>
      <c r="F18" s="12">
        <v>491.57</v>
      </c>
      <c r="G18" s="12">
        <v>463.9</v>
      </c>
      <c r="H18" s="12">
        <v>595.35</v>
      </c>
    </row>
    <row r="19" spans="2:8" x14ac:dyDescent="0.3">
      <c r="B19" s="11" t="s">
        <v>49</v>
      </c>
      <c r="C19" s="7">
        <v>0</v>
      </c>
      <c r="D19" s="7">
        <v>0</v>
      </c>
      <c r="E19" s="12">
        <v>-771.24</v>
      </c>
      <c r="F19" s="12">
        <v>-852.65</v>
      </c>
      <c r="G19" s="7">
        <v>-415.34</v>
      </c>
      <c r="H19" s="12">
        <v>-247.92</v>
      </c>
    </row>
    <row r="20" spans="2:8" x14ac:dyDescent="0.3">
      <c r="B20" s="11" t="s">
        <v>50</v>
      </c>
      <c r="C20" s="7">
        <v>0</v>
      </c>
      <c r="D20" s="7">
        <v>74.260000000000005</v>
      </c>
      <c r="E20" s="12">
        <v>20.059999999999999</v>
      </c>
      <c r="F20" s="12">
        <v>662.74</v>
      </c>
      <c r="G20" s="12">
        <v>915.04</v>
      </c>
      <c r="H20" s="12">
        <v>795.96</v>
      </c>
    </row>
    <row r="21" spans="2:8" x14ac:dyDescent="0.3">
      <c r="B21" s="22" t="s">
        <v>51</v>
      </c>
      <c r="C21" s="7">
        <v>159.19</v>
      </c>
      <c r="D21" s="7">
        <v>517.52</v>
      </c>
      <c r="E21" s="12">
        <v>149.25</v>
      </c>
      <c r="F21" s="12">
        <v>302.61</v>
      </c>
      <c r="G21" s="12">
        <v>0</v>
      </c>
      <c r="H21" s="12">
        <v>0</v>
      </c>
    </row>
    <row r="22" spans="2:8" x14ac:dyDescent="0.3">
      <c r="B22" s="11" t="s">
        <v>45</v>
      </c>
      <c r="C22" s="7">
        <v>65.040000000000006</v>
      </c>
      <c r="D22" s="7">
        <v>9057.99</v>
      </c>
      <c r="E22" s="12">
        <v>0</v>
      </c>
      <c r="F22" s="12">
        <v>-800</v>
      </c>
      <c r="G22" s="12">
        <v>500</v>
      </c>
      <c r="H22" s="12">
        <v>447.18</v>
      </c>
    </row>
    <row r="23" spans="2:8" x14ac:dyDescent="0.3">
      <c r="B23" s="11" t="s">
        <v>52</v>
      </c>
      <c r="C23" s="7">
        <v>0</v>
      </c>
      <c r="D23" s="7">
        <v>0</v>
      </c>
      <c r="E23" s="12">
        <v>1771.06</v>
      </c>
      <c r="F23" s="12">
        <v>-1751.3</v>
      </c>
      <c r="G23" s="12">
        <v>193.52</v>
      </c>
      <c r="H23" s="12">
        <v>400</v>
      </c>
    </row>
    <row r="24" spans="2:8" x14ac:dyDescent="0.3">
      <c r="B24" s="11" t="s">
        <v>53</v>
      </c>
      <c r="C24" s="7">
        <v>-561.09</v>
      </c>
      <c r="D24" s="7">
        <v>-1289.51</v>
      </c>
      <c r="E24" s="12">
        <v>-3830.24</v>
      </c>
      <c r="F24" s="12">
        <v>-1292.3399999999999</v>
      </c>
      <c r="G24" s="12">
        <v>-1276.4000000000001</v>
      </c>
      <c r="H24" s="12">
        <v>-4005.1</v>
      </c>
    </row>
    <row r="25" spans="2:8" x14ac:dyDescent="0.3">
      <c r="B25" s="11" t="s">
        <v>39</v>
      </c>
      <c r="C25" s="7">
        <v>4303.24</v>
      </c>
      <c r="D25" s="7">
        <v>2171.8000000000002</v>
      </c>
      <c r="E25" s="12">
        <v>1644.59</v>
      </c>
      <c r="F25" s="12">
        <v>2133.85</v>
      </c>
      <c r="G25" s="12">
        <v>4030.21</v>
      </c>
      <c r="H25" s="7">
        <v>4801.04</v>
      </c>
    </row>
    <row r="26" spans="2:8" s="1" customFormat="1" x14ac:dyDescent="0.3">
      <c r="B26" s="22" t="s">
        <v>54</v>
      </c>
      <c r="C26" s="12">
        <v>0</v>
      </c>
      <c r="D26" s="12">
        <v>0</v>
      </c>
      <c r="E26" s="12">
        <v>337.44</v>
      </c>
      <c r="F26" s="12">
        <v>1026.1400000000001</v>
      </c>
      <c r="G26" s="12">
        <v>377.68</v>
      </c>
      <c r="H26" s="12">
        <v>737.02</v>
      </c>
    </row>
    <row r="27" spans="2:8" s="1" customFormat="1" x14ac:dyDescent="0.3">
      <c r="B27" s="22" t="s">
        <v>55</v>
      </c>
      <c r="C27" s="12">
        <v>0</v>
      </c>
      <c r="D27" s="12">
        <v>25.38</v>
      </c>
      <c r="E27" s="12">
        <v>32.71</v>
      </c>
      <c r="F27" s="12">
        <v>47.95</v>
      </c>
      <c r="G27" s="12">
        <v>44.92</v>
      </c>
      <c r="H27" s="12">
        <v>78.510000000000005</v>
      </c>
    </row>
    <row r="28" spans="2:8" x14ac:dyDescent="0.3">
      <c r="B28" s="11" t="s">
        <v>56</v>
      </c>
      <c r="C28" s="7">
        <v>2250.6999999999998</v>
      </c>
      <c r="D28" s="7">
        <v>0.34</v>
      </c>
      <c r="E28" s="12">
        <v>0</v>
      </c>
      <c r="F28" s="12">
        <v>0</v>
      </c>
      <c r="G28" s="12">
        <v>385.24</v>
      </c>
      <c r="H28" s="12">
        <v>0</v>
      </c>
    </row>
    <row r="29" spans="2:8" x14ac:dyDescent="0.3">
      <c r="B29" s="1" t="s">
        <v>57</v>
      </c>
      <c r="C29" s="10">
        <v>93272.709999999948</v>
      </c>
      <c r="D29" s="10">
        <v>161070.18000000002</v>
      </c>
      <c r="E29" s="10">
        <v>166547.97999999995</v>
      </c>
      <c r="F29" s="10">
        <v>197651.34000000008</v>
      </c>
      <c r="G29" s="10">
        <v>194482.11000000004</v>
      </c>
      <c r="H29" s="10">
        <v>258113.77999999994</v>
      </c>
    </row>
    <row r="30" spans="2:8" x14ac:dyDescent="0.3">
      <c r="C30" s="7"/>
      <c r="D30" s="7"/>
      <c r="E30" s="7"/>
      <c r="F30" s="7"/>
      <c r="G30" s="7"/>
      <c r="H30" s="7"/>
    </row>
    <row r="31" spans="2:8" x14ac:dyDescent="0.3">
      <c r="B31" s="1" t="s">
        <v>58</v>
      </c>
      <c r="C31" s="7"/>
      <c r="D31" s="7"/>
      <c r="E31" s="7"/>
      <c r="F31" s="7"/>
      <c r="G31" s="7"/>
      <c r="H31" s="7"/>
    </row>
    <row r="32" spans="2:8" x14ac:dyDescent="0.3">
      <c r="B32" s="5" t="s">
        <v>136</v>
      </c>
      <c r="C32" s="7">
        <v>7032.26</v>
      </c>
      <c r="D32" s="7">
        <v>-30883.07</v>
      </c>
      <c r="E32" s="7">
        <v>19887.349999999999</v>
      </c>
      <c r="F32" s="7">
        <v>-6595.27</v>
      </c>
      <c r="G32" s="7">
        <v>-20531.48</v>
      </c>
      <c r="H32" s="7">
        <v>-28991.02</v>
      </c>
    </row>
    <row r="33" spans="1:8" x14ac:dyDescent="0.3">
      <c r="B33" s="5" t="s">
        <v>4</v>
      </c>
      <c r="C33" s="7">
        <v>-3049.51</v>
      </c>
      <c r="D33" s="7">
        <v>-7814.92</v>
      </c>
      <c r="E33" s="7">
        <v>-28440.32</v>
      </c>
      <c r="F33" s="7">
        <v>-57670.04</v>
      </c>
      <c r="G33" s="7">
        <v>26177.99</v>
      </c>
      <c r="H33" s="7">
        <v>-5500.3</v>
      </c>
    </row>
    <row r="34" spans="1:8" x14ac:dyDescent="0.3">
      <c r="B34" s="5" t="s">
        <v>137</v>
      </c>
      <c r="C34" s="7">
        <v>-796.03</v>
      </c>
      <c r="D34" s="7">
        <v>-480.62</v>
      </c>
      <c r="E34" s="7">
        <v>299.69</v>
      </c>
      <c r="F34" s="7">
        <v>1339.11</v>
      </c>
      <c r="G34" s="7">
        <v>-12929.75</v>
      </c>
      <c r="H34" s="7">
        <v>11334.27</v>
      </c>
    </row>
    <row r="35" spans="1:8" x14ac:dyDescent="0.3">
      <c r="B35" s="5" t="s">
        <v>138</v>
      </c>
      <c r="C35" s="7">
        <v>-3796.27</v>
      </c>
      <c r="D35" s="7">
        <v>-13039.23</v>
      </c>
      <c r="E35" s="7">
        <v>-9430.83</v>
      </c>
      <c r="F35" s="7">
        <v>-60559.12</v>
      </c>
      <c r="G35" s="7">
        <v>29556.15</v>
      </c>
      <c r="H35" s="7">
        <v>522.29999999999995</v>
      </c>
    </row>
    <row r="36" spans="1:8" x14ac:dyDescent="0.3">
      <c r="B36" s="5" t="s">
        <v>26</v>
      </c>
      <c r="C36" s="7">
        <v>5502.31</v>
      </c>
      <c r="D36" s="7">
        <v>11789.46</v>
      </c>
      <c r="E36" s="7">
        <v>2993.23</v>
      </c>
      <c r="F36" s="7">
        <v>3689.17</v>
      </c>
      <c r="G36" s="7">
        <v>5320.74</v>
      </c>
      <c r="H36" s="7">
        <v>9568.57</v>
      </c>
    </row>
    <row r="37" spans="1:8" x14ac:dyDescent="0.3">
      <c r="B37" s="5" t="s">
        <v>139</v>
      </c>
      <c r="C37" s="7">
        <v>-7483.31</v>
      </c>
      <c r="D37" s="7">
        <v>18314.11</v>
      </c>
      <c r="E37" s="7">
        <v>-7815.07</v>
      </c>
      <c r="F37" s="7">
        <v>41984.91</v>
      </c>
      <c r="G37" s="7">
        <v>-6501.93</v>
      </c>
      <c r="H37" s="7">
        <v>9745.2099999999991</v>
      </c>
    </row>
    <row r="38" spans="1:8" x14ac:dyDescent="0.3">
      <c r="B38" s="5" t="s">
        <v>140</v>
      </c>
      <c r="C38" s="7">
        <v>-862.27</v>
      </c>
      <c r="D38" s="7">
        <v>5334.55</v>
      </c>
      <c r="E38" s="7">
        <v>8543.64</v>
      </c>
      <c r="F38" s="7">
        <v>1899.44</v>
      </c>
      <c r="G38" s="7">
        <v>1621.1</v>
      </c>
      <c r="H38" s="7">
        <v>269.94</v>
      </c>
    </row>
    <row r="39" spans="1:8" x14ac:dyDescent="0.3">
      <c r="B39" s="5" t="s">
        <v>141</v>
      </c>
      <c r="C39" s="7">
        <v>2478.9</v>
      </c>
      <c r="D39" s="7">
        <v>5216.1499999999996</v>
      </c>
      <c r="E39" s="7">
        <v>7459.39</v>
      </c>
      <c r="F39" s="7">
        <v>17299.73</v>
      </c>
      <c r="G39" s="7">
        <v>-6039.93</v>
      </c>
      <c r="H39" s="7">
        <v>5092.62</v>
      </c>
    </row>
    <row r="40" spans="1:8" x14ac:dyDescent="0.3">
      <c r="B40" s="1" t="s">
        <v>59</v>
      </c>
      <c r="C40" s="10">
        <f>SUM(C29:C39)</f>
        <v>92298.789999999935</v>
      </c>
      <c r="D40" s="10">
        <f t="shared" ref="D40:H40" si="1">SUM(D29:D39)</f>
        <v>149506.61000000002</v>
      </c>
      <c r="E40" s="10">
        <f t="shared" si="1"/>
        <v>160045.06</v>
      </c>
      <c r="F40" s="10">
        <f t="shared" si="1"/>
        <v>139039.27000000008</v>
      </c>
      <c r="G40" s="10">
        <f t="shared" si="1"/>
        <v>211155.00000000003</v>
      </c>
      <c r="H40" s="10">
        <f t="shared" si="1"/>
        <v>260155.36999999994</v>
      </c>
    </row>
    <row r="41" spans="1:8" x14ac:dyDescent="0.3">
      <c r="B41" t="s">
        <v>60</v>
      </c>
      <c r="C41" s="7">
        <v>-34184.120000000003</v>
      </c>
      <c r="D41" s="7">
        <v>-33091.15</v>
      </c>
      <c r="E41" s="7">
        <v>-45407.5</v>
      </c>
      <c r="F41" s="7">
        <v>-49950.83</v>
      </c>
      <c r="G41" s="7">
        <v>-32309.67</v>
      </c>
      <c r="H41" s="7">
        <v>-47953.38</v>
      </c>
    </row>
    <row r="42" spans="1:8" x14ac:dyDescent="0.3">
      <c r="B42" s="1" t="s">
        <v>61</v>
      </c>
      <c r="C42" s="10">
        <f>SUM(C40:C41)</f>
        <v>58114.669999999933</v>
      </c>
      <c r="D42" s="10">
        <f t="shared" ref="D42:H42" si="2">SUM(D40:D41)</f>
        <v>116415.46000000002</v>
      </c>
      <c r="E42" s="10">
        <f t="shared" si="2"/>
        <v>114637.56</v>
      </c>
      <c r="F42" s="10">
        <f t="shared" si="2"/>
        <v>89088.440000000075</v>
      </c>
      <c r="G42" s="10">
        <f t="shared" si="2"/>
        <v>178845.33000000002</v>
      </c>
      <c r="H42" s="10">
        <f t="shared" si="2"/>
        <v>212201.98999999993</v>
      </c>
    </row>
    <row r="43" spans="1:8" x14ac:dyDescent="0.3">
      <c r="C43" s="7"/>
      <c r="D43" s="7"/>
      <c r="E43" s="7"/>
      <c r="F43" s="7"/>
      <c r="G43" s="7"/>
      <c r="H43" s="7"/>
    </row>
    <row r="44" spans="1:8" x14ac:dyDescent="0.3">
      <c r="A44" s="1">
        <v>2</v>
      </c>
      <c r="B44" s="1" t="s">
        <v>62</v>
      </c>
      <c r="C44" s="7"/>
      <c r="D44" s="7"/>
      <c r="E44" s="7"/>
      <c r="F44" s="7"/>
      <c r="G44" s="7"/>
      <c r="H44" s="7"/>
    </row>
    <row r="45" spans="1:8" x14ac:dyDescent="0.3">
      <c r="B45" s="2" t="s">
        <v>63</v>
      </c>
      <c r="C45" s="7">
        <v>5888.95</v>
      </c>
      <c r="D45" s="7">
        <v>1124.24</v>
      </c>
      <c r="E45" s="7">
        <v>74.25</v>
      </c>
      <c r="F45" s="7">
        <v>314.64</v>
      </c>
      <c r="G45" s="7">
        <v>604.79</v>
      </c>
      <c r="H45" s="7">
        <v>750.7</v>
      </c>
    </row>
    <row r="46" spans="1:8" x14ac:dyDescent="0.3">
      <c r="B46" s="2" t="s">
        <v>64</v>
      </c>
      <c r="C46" s="7">
        <v>-29767.52</v>
      </c>
      <c r="D46" s="7">
        <v>-22796.98</v>
      </c>
      <c r="E46" s="7">
        <v>-30842.84</v>
      </c>
      <c r="F46" s="7">
        <v>-46486.44</v>
      </c>
      <c r="G46" s="7">
        <v>-78902.05</v>
      </c>
      <c r="H46" s="7">
        <v>-31533.35</v>
      </c>
    </row>
    <row r="47" spans="1:8" x14ac:dyDescent="0.3">
      <c r="B47" s="2" t="s">
        <v>98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-687.44</v>
      </c>
    </row>
    <row r="48" spans="1:8" x14ac:dyDescent="0.3">
      <c r="B48" s="2" t="s">
        <v>65</v>
      </c>
      <c r="C48" s="7">
        <v>5514.53</v>
      </c>
      <c r="D48" s="7">
        <v>-8670.23</v>
      </c>
      <c r="E48" s="7">
        <v>-61827.67</v>
      </c>
      <c r="F48" s="7">
        <v>51914.55</v>
      </c>
      <c r="G48" s="7">
        <v>-16534.770000000004</v>
      </c>
      <c r="H48" s="7">
        <v>-104728.56</v>
      </c>
    </row>
    <row r="49" spans="1:8" x14ac:dyDescent="0.3">
      <c r="B49" s="2" t="s">
        <v>96</v>
      </c>
      <c r="C49" s="7">
        <v>0</v>
      </c>
      <c r="D49" s="7">
        <v>0</v>
      </c>
      <c r="E49" s="7">
        <v>0</v>
      </c>
      <c r="F49" s="12">
        <v>-188065</v>
      </c>
      <c r="G49" s="12">
        <v>-4304.8500000000004</v>
      </c>
      <c r="H49" s="12">
        <v>-6700.33</v>
      </c>
    </row>
    <row r="50" spans="1:8" x14ac:dyDescent="0.3">
      <c r="B50" s="2" t="s">
        <v>97</v>
      </c>
      <c r="C50" s="7">
        <v>0</v>
      </c>
      <c r="D50" s="7">
        <v>0</v>
      </c>
      <c r="E50" s="7">
        <v>0</v>
      </c>
      <c r="F50" s="7">
        <v>-2700</v>
      </c>
      <c r="G50" s="12">
        <v>-2007.7</v>
      </c>
      <c r="H50" s="12">
        <v>-3133.38</v>
      </c>
    </row>
    <row r="51" spans="1:8" x14ac:dyDescent="0.3">
      <c r="B51" s="2" t="s">
        <v>66</v>
      </c>
      <c r="C51" s="7">
        <v>31.42</v>
      </c>
      <c r="D51" s="7">
        <v>428.25</v>
      </c>
      <c r="E51" s="7">
        <v>42.47</v>
      </c>
      <c r="F51" s="7">
        <v>0.18</v>
      </c>
      <c r="G51" s="12">
        <v>0.24</v>
      </c>
      <c r="H51" s="12">
        <v>0.24</v>
      </c>
    </row>
    <row r="52" spans="1:8" x14ac:dyDescent="0.3">
      <c r="B52" s="2" t="s">
        <v>67</v>
      </c>
      <c r="C52" s="7">
        <v>-192.17</v>
      </c>
      <c r="D52" s="7">
        <v>-313.85000000000002</v>
      </c>
      <c r="E52" s="7">
        <v>-128.05000000000001</v>
      </c>
      <c r="F52" s="7">
        <v>1735.88</v>
      </c>
      <c r="G52" s="12">
        <v>0</v>
      </c>
      <c r="H52" s="12">
        <v>0</v>
      </c>
    </row>
    <row r="53" spans="1:8" x14ac:dyDescent="0.3">
      <c r="B53" s="2" t="s">
        <v>68</v>
      </c>
      <c r="C53" s="7">
        <v>100.81</v>
      </c>
      <c r="D53" s="7">
        <v>23.35</v>
      </c>
      <c r="E53" s="7">
        <v>-31.86</v>
      </c>
      <c r="F53" s="7">
        <v>-9.6300000000000008</v>
      </c>
      <c r="G53" s="12">
        <v>-40.94</v>
      </c>
      <c r="H53" s="12">
        <v>-122.94</v>
      </c>
    </row>
    <row r="54" spans="1:8" x14ac:dyDescent="0.3">
      <c r="B54" s="2" t="s">
        <v>69</v>
      </c>
      <c r="C54" s="7">
        <v>-2039.54</v>
      </c>
      <c r="D54" s="7">
        <v>-16918.09</v>
      </c>
      <c r="E54" s="7">
        <v>-33975.78</v>
      </c>
      <c r="F54" s="7">
        <v>43015.3</v>
      </c>
      <c r="G54" s="12">
        <v>-4497.1099999999997</v>
      </c>
      <c r="H54" s="12">
        <v>-66758.58</v>
      </c>
    </row>
    <row r="55" spans="1:8" x14ac:dyDescent="0.3">
      <c r="B55" t="s">
        <v>94</v>
      </c>
      <c r="C55" s="7">
        <v>-24505.02</v>
      </c>
      <c r="D55" s="7">
        <v>0</v>
      </c>
      <c r="E55" s="7">
        <v>0</v>
      </c>
      <c r="F55" s="12">
        <v>0</v>
      </c>
      <c r="G55" s="12">
        <v>-382.73</v>
      </c>
      <c r="H55" s="12">
        <v>0</v>
      </c>
    </row>
    <row r="56" spans="1:8" x14ac:dyDescent="0.3">
      <c r="B56" s="2" t="s">
        <v>70</v>
      </c>
      <c r="C56" s="7">
        <v>-96.14</v>
      </c>
      <c r="D56" s="7">
        <v>529.72</v>
      </c>
      <c r="E56" s="7">
        <v>1027.01</v>
      </c>
      <c r="F56" s="7">
        <v>2074.42</v>
      </c>
      <c r="G56" s="12">
        <v>-624.41999999999996</v>
      </c>
      <c r="H56" s="12">
        <v>739.51</v>
      </c>
    </row>
    <row r="57" spans="1:8" x14ac:dyDescent="0.3">
      <c r="B57" t="s">
        <v>71</v>
      </c>
      <c r="C57" s="7">
        <v>69.099999999999994</v>
      </c>
      <c r="D57" s="7">
        <v>1388.69</v>
      </c>
      <c r="E57" s="7">
        <v>0</v>
      </c>
      <c r="F57" s="7">
        <v>0</v>
      </c>
      <c r="G57" s="12">
        <v>0</v>
      </c>
      <c r="H57" s="12">
        <v>0</v>
      </c>
    </row>
    <row r="58" spans="1:8" x14ac:dyDescent="0.3">
      <c r="B58" s="2" t="s">
        <v>72</v>
      </c>
      <c r="C58" s="7">
        <v>561.09</v>
      </c>
      <c r="D58" s="7">
        <v>1289.51</v>
      </c>
      <c r="E58" s="7">
        <v>3830.24</v>
      </c>
      <c r="F58" s="7">
        <v>1292.3399999999999</v>
      </c>
      <c r="G58" s="12">
        <v>1276.4000000000001</v>
      </c>
      <c r="H58" s="12">
        <v>4005.1</v>
      </c>
    </row>
    <row r="59" spans="1:8" x14ac:dyDescent="0.3">
      <c r="B59" s="1" t="s">
        <v>73</v>
      </c>
      <c r="C59" s="10">
        <f>SUM(C45:C58)</f>
        <v>-44434.490000000005</v>
      </c>
      <c r="D59" s="10">
        <f t="shared" ref="D59:H59" si="3">SUM(D45:D58)</f>
        <v>-43915.389999999992</v>
      </c>
      <c r="E59" s="10">
        <f t="shared" si="3"/>
        <v>-121832.23</v>
      </c>
      <c r="F59" s="10">
        <f t="shared" si="3"/>
        <v>-136913.76</v>
      </c>
      <c r="G59" s="10">
        <f t="shared" si="3"/>
        <v>-105413.14000000001</v>
      </c>
      <c r="H59" s="10">
        <f t="shared" si="3"/>
        <v>-208169.03</v>
      </c>
    </row>
    <row r="60" spans="1:8" x14ac:dyDescent="0.3">
      <c r="C60" s="7"/>
      <c r="D60" s="7"/>
      <c r="E60" s="7"/>
      <c r="F60" s="7"/>
      <c r="G60" s="7"/>
      <c r="H60" s="7"/>
    </row>
    <row r="61" spans="1:8" x14ac:dyDescent="0.3">
      <c r="A61" s="1">
        <v>3</v>
      </c>
      <c r="B61" s="1" t="s">
        <v>74</v>
      </c>
      <c r="C61" s="7"/>
      <c r="D61" s="7"/>
      <c r="E61" s="7"/>
      <c r="F61" s="7"/>
      <c r="G61" s="7"/>
      <c r="H61" s="7"/>
    </row>
    <row r="62" spans="1:8" x14ac:dyDescent="0.3">
      <c r="B62" t="s">
        <v>75</v>
      </c>
      <c r="C62" s="7">
        <v>-4496.96</v>
      </c>
      <c r="D62" s="7">
        <v>-2197.1799999999998</v>
      </c>
      <c r="E62" s="7">
        <v>-1677.3</v>
      </c>
      <c r="F62" s="7">
        <v>-1730.69</v>
      </c>
      <c r="G62" s="7">
        <v>-4148.1899999999996</v>
      </c>
      <c r="H62" s="7">
        <v>-2538.85</v>
      </c>
    </row>
    <row r="63" spans="1:8" x14ac:dyDescent="0.3">
      <c r="B63" t="s">
        <v>76</v>
      </c>
      <c r="C63" s="7">
        <v>1096.97</v>
      </c>
      <c r="D63" s="7">
        <v>1387.92</v>
      </c>
      <c r="E63" s="7">
        <v>12678.23</v>
      </c>
      <c r="F63" s="7">
        <v>127232.71</v>
      </c>
      <c r="G63" s="7">
        <v>109473.48</v>
      </c>
      <c r="H63" s="7">
        <v>37461.24</v>
      </c>
    </row>
    <row r="64" spans="1:8" x14ac:dyDescent="0.3">
      <c r="B64" t="s">
        <v>77</v>
      </c>
      <c r="C64" s="7">
        <v>35294.53</v>
      </c>
      <c r="D64" s="7">
        <v>3660.11</v>
      </c>
      <c r="E64" s="7">
        <v>45215.81</v>
      </c>
      <c r="F64" s="7">
        <v>585.95000000000005</v>
      </c>
      <c r="G64" s="7">
        <v>384.51</v>
      </c>
      <c r="H64" s="7">
        <v>2609.25</v>
      </c>
    </row>
    <row r="65" spans="2:8" x14ac:dyDescent="0.3">
      <c r="B65" t="s">
        <v>78</v>
      </c>
      <c r="C65" s="7">
        <v>-18748.22</v>
      </c>
      <c r="D65" s="7">
        <v>-21106.31</v>
      </c>
      <c r="E65" s="7">
        <v>-1769.76</v>
      </c>
      <c r="F65" s="7">
        <v>-64535.06</v>
      </c>
      <c r="G65" s="7">
        <v>-176415.2</v>
      </c>
      <c r="H65" s="7">
        <v>-33980.92</v>
      </c>
    </row>
    <row r="66" spans="2:8" x14ac:dyDescent="0.3">
      <c r="B66" t="s">
        <v>79</v>
      </c>
      <c r="C66" s="7">
        <v>-33052.9</v>
      </c>
      <c r="D66" s="7">
        <v>-352.03</v>
      </c>
      <c r="E66" s="7">
        <v>-45076.5</v>
      </c>
      <c r="F66" s="7">
        <v>-859.06</v>
      </c>
      <c r="G66" s="7">
        <v>-2967.11</v>
      </c>
      <c r="H66" s="7">
        <v>-2693.19</v>
      </c>
    </row>
    <row r="67" spans="2:8" x14ac:dyDescent="0.3">
      <c r="B67" t="s">
        <v>80</v>
      </c>
      <c r="C67" s="7">
        <v>0</v>
      </c>
      <c r="D67" s="7">
        <v>-106.88</v>
      </c>
      <c r="E67" s="7">
        <v>-112.61</v>
      </c>
      <c r="F67" s="7">
        <v>-183.84</v>
      </c>
      <c r="G67" s="7">
        <v>-255.38</v>
      </c>
      <c r="H67" s="7">
        <v>-252.46</v>
      </c>
    </row>
    <row r="68" spans="2:8" x14ac:dyDescent="0.3">
      <c r="B68" t="s">
        <v>99</v>
      </c>
      <c r="C68" s="7">
        <v>0</v>
      </c>
      <c r="D68" s="7">
        <v>0</v>
      </c>
      <c r="E68" s="7">
        <v>-32.71</v>
      </c>
      <c r="F68" s="7">
        <v>-47.95</v>
      </c>
      <c r="G68" s="7">
        <v>-44.92</v>
      </c>
      <c r="H68" s="7">
        <v>-78.510000000000005</v>
      </c>
    </row>
    <row r="69" spans="2:8" x14ac:dyDescent="0.3">
      <c r="B69" t="s">
        <v>100</v>
      </c>
      <c r="C69" s="7">
        <v>0</v>
      </c>
      <c r="D69" s="7">
        <v>0</v>
      </c>
      <c r="E69" s="7">
        <v>-10006.219999999999</v>
      </c>
      <c r="F69" s="7">
        <v>0</v>
      </c>
      <c r="G69" s="7">
        <v>0</v>
      </c>
      <c r="H69" s="7">
        <v>0</v>
      </c>
    </row>
    <row r="70" spans="2:8" x14ac:dyDescent="0.3">
      <c r="B70" t="s">
        <v>81</v>
      </c>
      <c r="C70" s="7">
        <v>-2892.89</v>
      </c>
      <c r="D70" s="7">
        <v>-36426.6</v>
      </c>
      <c r="E70" s="7">
        <v>0</v>
      </c>
      <c r="F70" s="7">
        <v>0</v>
      </c>
      <c r="G70" s="7">
        <v>0</v>
      </c>
      <c r="H70" s="7">
        <v>0</v>
      </c>
    </row>
    <row r="71" spans="2:8" x14ac:dyDescent="0.3">
      <c r="B71" s="1" t="s">
        <v>82</v>
      </c>
      <c r="C71" s="10">
        <f>SUM(C62:C70)</f>
        <v>-22799.47</v>
      </c>
      <c r="D71" s="10">
        <f t="shared" ref="D71:H71" si="4">SUM(D62:D70)</f>
        <v>-55140.97</v>
      </c>
      <c r="E71" s="10">
        <f t="shared" si="4"/>
        <v>-781.06000000000313</v>
      </c>
      <c r="F71" s="10">
        <f t="shared" si="4"/>
        <v>60462.060000000012</v>
      </c>
      <c r="G71" s="10">
        <f t="shared" si="4"/>
        <v>-73972.810000000027</v>
      </c>
      <c r="H71" s="10">
        <f t="shared" si="4"/>
        <v>526.56000000000108</v>
      </c>
    </row>
    <row r="72" spans="2:8" x14ac:dyDescent="0.3">
      <c r="C72" s="7"/>
      <c r="D72" s="7"/>
      <c r="E72" s="7"/>
      <c r="F72" s="7"/>
      <c r="G72" s="7"/>
      <c r="H72" s="7"/>
    </row>
    <row r="73" spans="2:8" x14ac:dyDescent="0.3">
      <c r="C73" s="7"/>
      <c r="D73" s="7"/>
      <c r="E73" s="7"/>
      <c r="F73" s="7"/>
      <c r="G73" s="7"/>
      <c r="H73" s="7"/>
    </row>
    <row r="74" spans="2:8" x14ac:dyDescent="0.3">
      <c r="B74" t="s">
        <v>83</v>
      </c>
      <c r="C74" s="7">
        <v>-7196.73</v>
      </c>
      <c r="D74" s="7">
        <v>10608.15</v>
      </c>
      <c r="E74" s="7">
        <v>-9277.7900000000009</v>
      </c>
      <c r="F74" s="7">
        <v>15525.51</v>
      </c>
      <c r="G74" s="7">
        <v>1944.49</v>
      </c>
      <c r="H74" s="7">
        <v>7602.03</v>
      </c>
    </row>
    <row r="75" spans="2:8" x14ac:dyDescent="0.3">
      <c r="B75" t="s">
        <v>84</v>
      </c>
      <c r="C75" s="7">
        <v>-2.4</v>
      </c>
      <c r="D75" s="7">
        <v>360.35</v>
      </c>
      <c r="E75" s="7">
        <v>37.520000000000003</v>
      </c>
      <c r="F75" s="7">
        <v>47.79</v>
      </c>
      <c r="G75" s="7">
        <v>231.54</v>
      </c>
      <c r="H75" s="7">
        <v>116.65</v>
      </c>
    </row>
    <row r="76" spans="2:8" x14ac:dyDescent="0.3">
      <c r="B76" t="s">
        <v>85</v>
      </c>
      <c r="C76" s="7">
        <v>5284.6</v>
      </c>
      <c r="D76" s="7">
        <v>-634.52000000000044</v>
      </c>
      <c r="E76" s="7">
        <v>0</v>
      </c>
      <c r="F76" s="7">
        <v>0</v>
      </c>
      <c r="G76" s="7">
        <v>0</v>
      </c>
      <c r="H76" s="7">
        <v>0</v>
      </c>
    </row>
    <row r="77" spans="2:8" x14ac:dyDescent="0.3">
      <c r="B77" t="s">
        <v>86</v>
      </c>
      <c r="C77" s="7">
        <v>13553.56</v>
      </c>
      <c r="D77" s="7">
        <v>11639.03</v>
      </c>
      <c r="E77" s="7">
        <v>21973.01</v>
      </c>
      <c r="F77" s="7">
        <v>12732.74</v>
      </c>
      <c r="G77" s="7">
        <v>28306.04</v>
      </c>
      <c r="H77" s="7">
        <v>30482.07</v>
      </c>
    </row>
    <row r="78" spans="2:8" x14ac:dyDescent="0.3">
      <c r="B78" s="1" t="s">
        <v>87</v>
      </c>
      <c r="C78" s="10">
        <f>SUM(C74:C77)</f>
        <v>11639.03</v>
      </c>
      <c r="D78" s="10">
        <f t="shared" ref="D78:H78" si="5">SUM(D74:D77)</f>
        <v>21973.010000000002</v>
      </c>
      <c r="E78" s="10">
        <f t="shared" si="5"/>
        <v>12732.739999999998</v>
      </c>
      <c r="F78" s="10">
        <f t="shared" si="5"/>
        <v>28306.04</v>
      </c>
      <c r="G78" s="10">
        <f t="shared" si="5"/>
        <v>30482.07</v>
      </c>
      <c r="H78" s="10">
        <f t="shared" si="5"/>
        <v>38200.75</v>
      </c>
    </row>
    <row r="79" spans="2:8" x14ac:dyDescent="0.3">
      <c r="C79" s="7"/>
      <c r="D79" s="7"/>
      <c r="E79" s="7"/>
      <c r="F79" s="7"/>
      <c r="G79" s="7"/>
      <c r="H79" s="7"/>
    </row>
    <row r="80" spans="2:8" x14ac:dyDescent="0.3">
      <c r="B80" s="1" t="s">
        <v>88</v>
      </c>
      <c r="C80" s="7"/>
      <c r="D80" s="7"/>
      <c r="E80" s="7"/>
      <c r="F80" s="7"/>
      <c r="G80" s="7"/>
      <c r="H80" s="7"/>
    </row>
    <row r="81" spans="2:8" x14ac:dyDescent="0.3">
      <c r="B81" t="s">
        <v>89</v>
      </c>
      <c r="C81" s="7">
        <v>11511.52</v>
      </c>
      <c r="D81" s="7">
        <v>18850.509999999998</v>
      </c>
      <c r="E81" s="7">
        <v>15308.43</v>
      </c>
      <c r="F81" s="7">
        <v>28859.85</v>
      </c>
      <c r="G81" s="7">
        <v>0</v>
      </c>
      <c r="H81" s="7">
        <v>0</v>
      </c>
    </row>
    <row r="82" spans="2:8" x14ac:dyDescent="0.3">
      <c r="B82" t="s">
        <v>90</v>
      </c>
      <c r="C82" s="7">
        <v>101.06</v>
      </c>
      <c r="D82" s="7">
        <v>1812.29</v>
      </c>
      <c r="E82" s="7">
        <v>1390.39</v>
      </c>
      <c r="F82" s="7">
        <v>1140.55</v>
      </c>
      <c r="G82" s="7">
        <v>29735.25</v>
      </c>
      <c r="H82" s="7">
        <v>26230.99</v>
      </c>
    </row>
    <row r="83" spans="2:8" x14ac:dyDescent="0.3">
      <c r="B83" t="s">
        <v>91</v>
      </c>
      <c r="C83" s="7">
        <v>25.54</v>
      </c>
      <c r="D83" s="7">
        <v>25.58</v>
      </c>
      <c r="E83" s="7">
        <v>19.38</v>
      </c>
      <c r="F83" s="7">
        <v>24.57</v>
      </c>
      <c r="G83" s="7">
        <v>701.08</v>
      </c>
      <c r="H83" s="7">
        <v>11895.98</v>
      </c>
    </row>
    <row r="84" spans="2:8" x14ac:dyDescent="0.3">
      <c r="B84" t="s">
        <v>92</v>
      </c>
      <c r="C84" s="7">
        <v>0.91</v>
      </c>
      <c r="D84" s="7">
        <v>1919.15</v>
      </c>
      <c r="E84" s="7">
        <v>0</v>
      </c>
      <c r="F84" s="7">
        <v>228.5</v>
      </c>
      <c r="G84" s="7">
        <v>45.74</v>
      </c>
      <c r="H84" s="7">
        <v>73.78</v>
      </c>
    </row>
    <row r="85" spans="2:8" s="1" customFormat="1" x14ac:dyDescent="0.3">
      <c r="B85" s="2" t="s">
        <v>93</v>
      </c>
      <c r="C85" s="12">
        <v>11639.03</v>
      </c>
      <c r="D85" s="12">
        <v>22607.530000000002</v>
      </c>
      <c r="E85" s="12">
        <v>16718.2</v>
      </c>
      <c r="F85" s="12">
        <v>30253.469999999998</v>
      </c>
      <c r="G85" s="12">
        <v>0</v>
      </c>
      <c r="H85" s="10">
        <v>0</v>
      </c>
    </row>
    <row r="86" spans="2:8" s="1" customFormat="1" x14ac:dyDescent="0.3">
      <c r="B86" s="1" t="s">
        <v>101</v>
      </c>
      <c r="C86" s="10">
        <f>SUM(C81:C85)</f>
        <v>23278.06</v>
      </c>
      <c r="D86" s="10">
        <f t="shared" ref="D86:H86" si="6">SUM(D81:D85)</f>
        <v>45215.060000000005</v>
      </c>
      <c r="E86" s="10">
        <f t="shared" si="6"/>
        <v>33436.400000000001</v>
      </c>
      <c r="F86" s="10">
        <f t="shared" si="6"/>
        <v>60506.939999999995</v>
      </c>
      <c r="G86" s="10">
        <f t="shared" si="6"/>
        <v>30482.070000000003</v>
      </c>
      <c r="H86" s="10">
        <f t="shared" si="6"/>
        <v>38200.75</v>
      </c>
    </row>
    <row r="87" spans="2:8" x14ac:dyDescent="0.3">
      <c r="B87" s="2"/>
      <c r="C87" s="2"/>
      <c r="D87" s="2"/>
      <c r="E87" s="2"/>
      <c r="F8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Annual Report Data&gt;</vt:lpstr>
      <vt:lpstr>Income Stmt</vt:lpstr>
      <vt:lpstr>Balance Sheet</vt:lpstr>
      <vt:lpstr>Cash Flow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2025-07-13T06:45:54Z</dcterms:modified>
</cp:coreProperties>
</file>