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Sheet1" sheetId="1" r:id="rId1"/>
    <sheet name="Income stmt" sheetId="2" r:id="rId2"/>
    <sheet name="Balance Sheet" sheetId="3" r:id="rId3"/>
  </sheets>
  <calcPr calcId="152511" iterate="1"/>
</workbook>
</file>

<file path=xl/calcChain.xml><?xml version="1.0" encoding="utf-8"?>
<calcChain xmlns="http://schemas.openxmlformats.org/spreadsheetml/2006/main">
  <c r="D3" i="1" l="1"/>
  <c r="E3" i="1" s="1"/>
  <c r="F3" i="1" s="1"/>
</calcChain>
</file>

<file path=xl/sharedStrings.xml><?xml version="1.0" encoding="utf-8"?>
<sst xmlns="http://schemas.openxmlformats.org/spreadsheetml/2006/main" count="271" uniqueCount="249">
  <si>
    <t>Revenue</t>
  </si>
  <si>
    <t>Income from Operations_Gross</t>
  </si>
  <si>
    <t>Other Operating Income</t>
  </si>
  <si>
    <t>GST</t>
  </si>
  <si>
    <t>Excise Duty</t>
  </si>
  <si>
    <t>Gross Margin (%)</t>
  </si>
  <si>
    <t>Expenses</t>
  </si>
  <si>
    <t>COGS</t>
  </si>
  <si>
    <t>Raw Material Cost</t>
  </si>
  <si>
    <t>Purchase of Finished Goods</t>
  </si>
  <si>
    <t>(Increase) / Decrease In Stocks</t>
  </si>
  <si>
    <t>Gross Profit</t>
  </si>
  <si>
    <t>Other Expenses</t>
  </si>
  <si>
    <t>Electricity, Power &amp; Fuel Cost</t>
  </si>
  <si>
    <t>Employees Cost</t>
  </si>
  <si>
    <t>General Administration Expenses</t>
  </si>
  <si>
    <t>Selling &amp; Distribution Expenses</t>
  </si>
  <si>
    <t>Misc Expenses</t>
  </si>
  <si>
    <t>Foreign Exchange Loss</t>
  </si>
  <si>
    <t>Foreign Exchange Loss Loan</t>
  </si>
  <si>
    <t>Expenses Capitalised</t>
  </si>
  <si>
    <t>EBITDA</t>
  </si>
  <si>
    <t>EBITDA Margin (%)</t>
  </si>
  <si>
    <t>Depreciation</t>
  </si>
  <si>
    <t>Finance Cost</t>
  </si>
  <si>
    <t>Other Income</t>
  </si>
  <si>
    <t>Profit Before Tax</t>
  </si>
  <si>
    <t>Profit before Exceptional Items, Share of Associates and tax</t>
  </si>
  <si>
    <t>Exceptional Items</t>
  </si>
  <si>
    <t>Foreign Exchange Gain/Loss</t>
  </si>
  <si>
    <t>Other Exceptional items</t>
  </si>
  <si>
    <t>Profit before Share of Associates and tax</t>
  </si>
  <si>
    <t>Share of (loss)/profit in Associates and Joint Ventures</t>
  </si>
  <si>
    <t>Tax</t>
  </si>
  <si>
    <t>Current Tax</t>
  </si>
  <si>
    <t>Deferred Tax</t>
  </si>
  <si>
    <t>Fringe Benefit Tax</t>
  </si>
  <si>
    <t>Prior Period / Year Tax</t>
  </si>
  <si>
    <t>MAT Credit</t>
  </si>
  <si>
    <t>Other Tax</t>
  </si>
  <si>
    <t>Tax Rate (%)</t>
  </si>
  <si>
    <t>PAT</t>
  </si>
  <si>
    <t>Profit after tax</t>
  </si>
  <si>
    <t>Profit for the period from discontinued operations</t>
  </si>
  <si>
    <t>Profit before tax from discontinued operations</t>
  </si>
  <si>
    <t>Tax expense of discontinued operations</t>
  </si>
  <si>
    <t>Other related Items</t>
  </si>
  <si>
    <t>PAT Margin %</t>
  </si>
  <si>
    <t>Attributable to Owners (PAT)</t>
  </si>
  <si>
    <t>Attribuatble to Non Controlling Interest (PAT)</t>
  </si>
  <si>
    <t>Other Comprehensive Incomes (Net of tax )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</si>
  <si>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</si>
  <si>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</si>
  <si>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</si>
  <si>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</si>
  <si>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>Minority Interest Comprehensive Income</t>
  </si>
  <si>
    <t>Other</t>
  </si>
  <si>
    <t>Attributable to Owners (OCI)</t>
  </si>
  <si>
    <t>Attribuatble to Non Controlling Interest (OCI)</t>
  </si>
  <si>
    <t>Total Comprehensive Income</t>
  </si>
  <si>
    <t>Attributable to Owners (TCI)</t>
  </si>
  <si>
    <t>Attribuatble to Non Controlling Interest (TCI)</t>
  </si>
  <si>
    <t>Diluted EPS</t>
  </si>
  <si>
    <t>Basic EPS</t>
  </si>
  <si>
    <t>PnL</t>
  </si>
  <si>
    <t>ProfitLoss</t>
  </si>
  <si>
    <t>Sales</t>
  </si>
  <si>
    <t>Job work/Contract receipts</t>
  </si>
  <si>
    <t>Processing charges/Service income</t>
  </si>
  <si>
    <t>Revenue from Property Development</t>
  </si>
  <si>
    <t>Other operational income</t>
  </si>
  <si>
    <t>Less: Excise duty</t>
  </si>
  <si>
    <t>Opening Raw Materials</t>
  </si>
  <si>
    <t>Purchases Raw Materials</t>
  </si>
  <si>
    <t>Closing Raw Materials</t>
  </si>
  <si>
    <t>Changes in Inventories of Finished Goods, WIP and Stock in Trade</t>
  </si>
  <si>
    <t>Direct Purchases/Brought in cost</t>
  </si>
  <si>
    <t>Other raw material cost</t>
  </si>
  <si>
    <t>Employee Cost</t>
  </si>
  <si>
    <t>Salaries, Wages &amp; Bonus</t>
  </si>
  <si>
    <t>Contributions to EPF &amp; Pension Funds</t>
  </si>
  <si>
    <t>Workmen and Staff Welfare Expenses</t>
  </si>
  <si>
    <t>Other Employees Cost</t>
  </si>
  <si>
    <t>Power &amp; Fuel Cost</t>
  </si>
  <si>
    <t>Electricity &amp; Power</t>
  </si>
  <si>
    <t>Oil, Fuel &amp; Natural gas</t>
  </si>
  <si>
    <t>Coals</t>
  </si>
  <si>
    <t>Other power &amp; fuel</t>
  </si>
  <si>
    <t>General and Administration Cost</t>
  </si>
  <si>
    <t>Rent , Rates &amp; Taxes</t>
  </si>
  <si>
    <t>Insurance</t>
  </si>
  <si>
    <t>Printing and stationery</t>
  </si>
  <si>
    <t>Professional and legal fees</t>
  </si>
  <si>
    <t>Travelling and conveyance</t>
  </si>
  <si>
    <t>Other Administration</t>
  </si>
  <si>
    <t>Selling and Distribution Cost</t>
  </si>
  <si>
    <t>Advertisement &amp; Sales Promotion</t>
  </si>
  <si>
    <t>Sales Commission &amp; Incentives</t>
  </si>
  <si>
    <t>Freight and Forwarding</t>
  </si>
  <si>
    <t>Handling and Clearing Charges</t>
  </si>
  <si>
    <t>Other Selling Expenses</t>
  </si>
  <si>
    <t>Misc. Cost</t>
  </si>
  <si>
    <t>Bad debts /advances written off</t>
  </si>
  <si>
    <t>Provision for doubtful debts</t>
  </si>
  <si>
    <t>Loss on disposal of fixed assets(net)</t>
  </si>
  <si>
    <t>Loss on foreign exchange fluctuations</t>
  </si>
  <si>
    <t>Loss on sale of non-trade current investments</t>
  </si>
  <si>
    <t>Other Miscellaneous Expenses</t>
  </si>
  <si>
    <t>Sub-contracted / Out sourced services</t>
  </si>
  <si>
    <t>Processing charges</t>
  </si>
  <si>
    <t>Repairs and Maintenance</t>
  </si>
  <si>
    <t>Packing Material Consumed</t>
  </si>
  <si>
    <t>Other manufacturing expense</t>
  </si>
  <si>
    <t>Interest on Debenture / Bonds</t>
  </si>
  <si>
    <t>Interest on Term Loan</t>
  </si>
  <si>
    <t>Interest on Fixed deposits</t>
  </si>
  <si>
    <t>Bank Charges etc</t>
  </si>
  <si>
    <t>Other Interest</t>
  </si>
  <si>
    <t>Interest Received</t>
  </si>
  <si>
    <t>Dividend Received</t>
  </si>
  <si>
    <t>Profit on sale of Fixed Assets</t>
  </si>
  <si>
    <t>Profits on sale of Investments</t>
  </si>
  <si>
    <t>Provision Written Back</t>
  </si>
  <si>
    <t>Foreign Exchange Gains</t>
  </si>
  <si>
    <t>Others</t>
  </si>
  <si>
    <t>Profit Before Tax and Exceptional Items</t>
  </si>
  <si>
    <t>Exceptional Income/Expenses</t>
  </si>
  <si>
    <t>Share of Associate</t>
  </si>
  <si>
    <t>Minority Interest</t>
  </si>
  <si>
    <t>Extra items</t>
  </si>
  <si>
    <t>Other consolidated items</t>
  </si>
  <si>
    <t>Attributable to Parent</t>
  </si>
  <si>
    <t>BalanceSheet</t>
  </si>
  <si>
    <t>ASSETS</t>
  </si>
  <si>
    <t>Tangible and Intangible Assets</t>
  </si>
  <si>
    <t>Net Block</t>
  </si>
  <si>
    <t>Gross Block</t>
  </si>
  <si>
    <t>Less: Accumulated Depreciation</t>
  </si>
  <si>
    <t>Less: Impairment of Assets</t>
  </si>
  <si>
    <t>Lease Adjustment Account</t>
  </si>
  <si>
    <t>Capital Work in Progress</t>
  </si>
  <si>
    <t>Other Non-current Assets</t>
  </si>
  <si>
    <t>Long Term Investment</t>
  </si>
  <si>
    <t>: Quoted</t>
  </si>
  <si>
    <t>: Unquoted</t>
  </si>
  <si>
    <t>Long Term Loans &amp; Advances</t>
  </si>
  <si>
    <t>Other Non-current Asset</t>
  </si>
  <si>
    <t>Current Assets</t>
  </si>
  <si>
    <t>Inventories</t>
  </si>
  <si>
    <t>Other Current Assets</t>
  </si>
  <si>
    <t>Investments</t>
  </si>
  <si>
    <t>Trade Receivables</t>
  </si>
  <si>
    <t>Debtors: more than six months</t>
  </si>
  <si>
    <t>Debtors: others</t>
  </si>
  <si>
    <t>Less: Provision for Doubtful Debts</t>
  </si>
  <si>
    <t>Cash and Cash Equivalents</t>
  </si>
  <si>
    <t>Cash in hand</t>
  </si>
  <si>
    <t>Balances at bank</t>
  </si>
  <si>
    <t>Other Cash and Bank Balances</t>
  </si>
  <si>
    <t>Loans</t>
  </si>
  <si>
    <t>Advances recoverable in cash or in kind</t>
  </si>
  <si>
    <t>Advance income tax and TDS</t>
  </si>
  <si>
    <t>Amounts due from directors</t>
  </si>
  <si>
    <t>Due from Subsidiaries</t>
  </si>
  <si>
    <t>Inter-Corporate Deposits</t>
  </si>
  <si>
    <t>Corporate Deposits</t>
  </si>
  <si>
    <t>Other Loans and Advances</t>
  </si>
  <si>
    <t>Interest accrued on Investments</t>
  </si>
  <si>
    <t>Interest accrued on Debentures</t>
  </si>
  <si>
    <t>Deposits with Government</t>
  </si>
  <si>
    <t>Interest accrued and or due on loans</t>
  </si>
  <si>
    <t>Prepaid Expenses</t>
  </si>
  <si>
    <t>Other Current Asset</t>
  </si>
  <si>
    <t>Capex</t>
  </si>
  <si>
    <t>Purchase of Fixed Asset</t>
  </si>
  <si>
    <t>Sale of Fixed Asset</t>
  </si>
  <si>
    <t>EQUITY AND LIABILITIES</t>
  </si>
  <si>
    <t>Share Capital</t>
  </si>
  <si>
    <t>Authorised</t>
  </si>
  <si>
    <t>Issued</t>
  </si>
  <si>
    <t>Equity shares Paid up</t>
  </si>
  <si>
    <t>Equity shares forefeited</t>
  </si>
  <si>
    <t>Adjustments to Equity</t>
  </si>
  <si>
    <t>Preference capital paid up</t>
  </si>
  <si>
    <t>Share warrants and outstanding</t>
  </si>
  <si>
    <t>Other Equity</t>
  </si>
  <si>
    <t>Securities Premium</t>
  </si>
  <si>
    <t>Capital Reserves</t>
  </si>
  <si>
    <t>Profit &amp; Loss Account Balance</t>
  </si>
  <si>
    <t>General Reserves</t>
  </si>
  <si>
    <t>Revaluation reserve</t>
  </si>
  <si>
    <t>Other Reserves (other than considered above)</t>
  </si>
  <si>
    <t>Borrowings and Loans</t>
  </si>
  <si>
    <t>Long-Term Borrowings</t>
  </si>
  <si>
    <t>Secured Loans</t>
  </si>
  <si>
    <t>Non Convertible Debentures</t>
  </si>
  <si>
    <t>Converible Debentures and Bonds</t>
  </si>
  <si>
    <t>Packing Credit - Bank</t>
  </si>
  <si>
    <t>Inter Corporate and Security Deposit</t>
  </si>
  <si>
    <t>Term Loans - Banks</t>
  </si>
  <si>
    <t>Term Loans - Institutions</t>
  </si>
  <si>
    <t>Other Secured</t>
  </si>
  <si>
    <t>Unsecured Loans</t>
  </si>
  <si>
    <t>Fixed Deposits- Public</t>
  </si>
  <si>
    <t>Loans and advances from subsidiaries</t>
  </si>
  <si>
    <t>Inter Corporate Deposits- Unsecured</t>
  </si>
  <si>
    <t>Foreign Currency Convertible Notes</t>
  </si>
  <si>
    <t>Long Term Loan in Foreign Currency</t>
  </si>
  <si>
    <t>Loans - Banks</t>
  </si>
  <si>
    <t>Loans - Govt</t>
  </si>
  <si>
    <t>Loans - Others</t>
  </si>
  <si>
    <t>Other Unsecured Loan</t>
  </si>
  <si>
    <t>Short-Term Borrowings</t>
  </si>
  <si>
    <t>Secured ST Loans repayable on Demands</t>
  </si>
  <si>
    <t>Working Capital Loans- Sec</t>
  </si>
  <si>
    <t>Buyers Credits - Unsec</t>
  </si>
  <si>
    <t>Commercial Borrowings- Unsec</t>
  </si>
  <si>
    <t>Other Unsecured Loans</t>
  </si>
  <si>
    <t>Other Non-Current Liabilities</t>
  </si>
  <si>
    <t>Deferred Tax Liabilities (Net)</t>
  </si>
  <si>
    <t>Deferred Tax Assets</t>
  </si>
  <si>
    <t>Deferred Tax Liability</t>
  </si>
  <si>
    <t>Other Long Term Liabilities</t>
  </si>
  <si>
    <t>Long Term Trade Payables</t>
  </si>
  <si>
    <t>Long Term Provisions</t>
  </si>
  <si>
    <t>Current Liabilities</t>
  </si>
  <si>
    <t>Trade Payables</t>
  </si>
  <si>
    <t>Sundry Creditors</t>
  </si>
  <si>
    <t>Acceptances</t>
  </si>
  <si>
    <t>Due to Subsidiaries- Trade Payables</t>
  </si>
  <si>
    <t>Short Term Provisions</t>
  </si>
  <si>
    <t>Proposed Equity Dividend</t>
  </si>
  <si>
    <t>Provision for Corporate Dividend Tax</t>
  </si>
  <si>
    <t>Provision for Tax</t>
  </si>
  <si>
    <t>Provision for post retirement benefits</t>
  </si>
  <si>
    <t>Preference Dividend</t>
  </si>
  <si>
    <t>Other Provisions</t>
  </si>
  <si>
    <t>Non controlling Interest</t>
  </si>
  <si>
    <t>Other Current Liabilities</t>
  </si>
  <si>
    <t>Bank Overdraft / Short term credit</t>
  </si>
  <si>
    <t>Advances received from customers</t>
  </si>
  <si>
    <t>Interest Accrued But Not Due</t>
  </si>
  <si>
    <t>Share application money</t>
  </si>
  <si>
    <t>Current maturity of Debentures &amp; Bonds</t>
  </si>
  <si>
    <t>Current maturity - Others</t>
  </si>
  <si>
    <t>Other Liabilities</t>
  </si>
  <si>
    <t>Contingent Liabilities</t>
  </si>
  <si>
    <t>Net Debt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</si>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</sst>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rgb="FF000000"/>
      <name val="Arial"/>
      <family val="2"/>
    </font>
    <font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E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939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3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0" borderId="0" xfId="0" applyFont="1"/>
    <xf numFmtId="0" fontId="7" fillId="4" borderId="0" xfId="0" applyFont="1" applyFill="1"/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17" fontId="9" fillId="6" borderId="0" xfId="0" applyNumberFormat="1" applyFont="1" applyFill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7"/>
  <sheetViews>
    <sheetView topLeftCell="A3" workbookViewId="0">
      <selection activeCell="G15" sqref="G15"/>
    </sheetView>
  </sheetViews>
  <sheetFormatPr defaultRowHeight="14.4" x14ac:dyDescent="0.3"/>
  <cols>
    <col min="2" max="2" width="83.21875" bestFit="1" customWidth="1"/>
    <col min="3" max="4" width="9.109375" bestFit="1" customWidth="1"/>
    <col min="5" max="6" width="10" bestFit="1" customWidth="1"/>
  </cols>
  <sheetData>
    <row r="3" spans="2:6" ht="21" x14ac:dyDescent="0.4">
      <c r="B3" s="27" t="s">
        <v>64</v>
      </c>
      <c r="C3" s="27">
        <v>2022</v>
      </c>
      <c r="D3" s="27">
        <f>C3+1</f>
        <v>2023</v>
      </c>
      <c r="E3" s="27">
        <f t="shared" ref="E3:F3" si="0">D3+1</f>
        <v>2024</v>
      </c>
      <c r="F3" s="27">
        <f t="shared" si="0"/>
        <v>2025</v>
      </c>
    </row>
    <row r="4" spans="2:6" ht="17.399999999999999" x14ac:dyDescent="0.3">
      <c r="B4" s="1" t="s">
        <v>0</v>
      </c>
      <c r="C4" s="2">
        <v>7782</v>
      </c>
      <c r="D4" s="2">
        <v>8749</v>
      </c>
      <c r="E4" s="2">
        <v>10260</v>
      </c>
      <c r="F4" s="2">
        <v>12207</v>
      </c>
    </row>
    <row r="5" spans="2:6" ht="18" x14ac:dyDescent="0.3">
      <c r="B5" s="3" t="s">
        <v>1</v>
      </c>
      <c r="C5" s="4">
        <v>7782</v>
      </c>
      <c r="D5" s="4">
        <v>8749</v>
      </c>
      <c r="E5" s="4">
        <v>10260</v>
      </c>
      <c r="F5" s="4">
        <v>12207</v>
      </c>
    </row>
    <row r="6" spans="2:6" ht="18" x14ac:dyDescent="0.3">
      <c r="B6" s="3" t="s">
        <v>2</v>
      </c>
      <c r="C6" s="5"/>
      <c r="D6" s="5">
        <v>0</v>
      </c>
      <c r="E6" s="5">
        <v>0</v>
      </c>
      <c r="F6" s="5">
        <v>0</v>
      </c>
    </row>
    <row r="7" spans="2:6" ht="18" x14ac:dyDescent="0.3">
      <c r="B7" s="3" t="s">
        <v>3</v>
      </c>
      <c r="C7" s="5">
        <v>0</v>
      </c>
      <c r="D7" s="5">
        <v>0</v>
      </c>
      <c r="E7" s="5">
        <v>0</v>
      </c>
      <c r="F7" s="5">
        <v>0</v>
      </c>
    </row>
    <row r="8" spans="2:6" ht="18" x14ac:dyDescent="0.3">
      <c r="B8" s="3" t="s">
        <v>4</v>
      </c>
      <c r="C8" s="5">
        <v>0</v>
      </c>
      <c r="D8" s="5">
        <v>0</v>
      </c>
      <c r="E8" s="5">
        <v>0</v>
      </c>
      <c r="F8" s="5">
        <v>0</v>
      </c>
    </row>
    <row r="9" spans="2:6" ht="17.399999999999999" x14ac:dyDescent="0.3">
      <c r="B9" s="28" t="s">
        <v>5</v>
      </c>
      <c r="C9" s="29">
        <v>69</v>
      </c>
      <c r="D9" s="29">
        <v>67</v>
      </c>
      <c r="E9" s="29">
        <v>69</v>
      </c>
      <c r="F9" s="29">
        <v>71</v>
      </c>
    </row>
    <row r="10" spans="2:6" ht="17.399999999999999" x14ac:dyDescent="0.3">
      <c r="B10" s="1" t="s">
        <v>6</v>
      </c>
      <c r="C10" s="2">
        <v>5792</v>
      </c>
      <c r="D10" s="2">
        <v>6849</v>
      </c>
      <c r="E10" s="2">
        <v>7747</v>
      </c>
      <c r="F10" s="2">
        <v>9190</v>
      </c>
    </row>
    <row r="11" spans="2:6" ht="18" x14ac:dyDescent="0.3">
      <c r="B11" s="3" t="s">
        <v>7</v>
      </c>
      <c r="C11" s="4">
        <v>2422</v>
      </c>
      <c r="D11" s="4">
        <v>2914</v>
      </c>
      <c r="E11" s="4">
        <v>3198</v>
      </c>
      <c r="F11" s="4">
        <v>3489</v>
      </c>
    </row>
    <row r="12" spans="2:6" ht="18" x14ac:dyDescent="0.3">
      <c r="B12" s="3" t="s">
        <v>8</v>
      </c>
      <c r="C12" s="4">
        <v>2058</v>
      </c>
      <c r="D12" s="4">
        <v>1814</v>
      </c>
      <c r="E12" s="4">
        <v>1842</v>
      </c>
      <c r="F12" s="4">
        <v>2016</v>
      </c>
    </row>
    <row r="13" spans="2:6" ht="18" x14ac:dyDescent="0.3">
      <c r="B13" s="3" t="s">
        <v>9</v>
      </c>
      <c r="C13" s="5">
        <v>814</v>
      </c>
      <c r="D13" s="5">
        <v>809</v>
      </c>
      <c r="E13" s="4">
        <v>1410</v>
      </c>
      <c r="F13" s="4">
        <v>1656</v>
      </c>
    </row>
    <row r="14" spans="2:6" ht="18" x14ac:dyDescent="0.3">
      <c r="B14" s="3" t="s">
        <v>10</v>
      </c>
      <c r="C14" s="5">
        <v>-450</v>
      </c>
      <c r="D14" s="5">
        <v>291</v>
      </c>
      <c r="E14" s="5">
        <v>-54</v>
      </c>
      <c r="F14" s="5">
        <v>-183</v>
      </c>
    </row>
    <row r="15" spans="2:6" s="26" customFormat="1" ht="17.399999999999999" x14ac:dyDescent="0.3">
      <c r="B15" s="30" t="s">
        <v>11</v>
      </c>
      <c r="C15" s="31">
        <v>5360</v>
      </c>
      <c r="D15" s="31">
        <v>5836</v>
      </c>
      <c r="E15" s="31">
        <v>7062</v>
      </c>
      <c r="F15" s="31">
        <v>8718</v>
      </c>
    </row>
    <row r="16" spans="2:6" ht="18" x14ac:dyDescent="0.3">
      <c r="B16" s="3" t="s">
        <v>12</v>
      </c>
      <c r="C16" s="4">
        <v>1750</v>
      </c>
      <c r="D16" s="4">
        <v>2017</v>
      </c>
      <c r="E16" s="4">
        <v>2288</v>
      </c>
      <c r="F16" s="4">
        <v>3008</v>
      </c>
    </row>
    <row r="17" spans="2:6" ht="18" x14ac:dyDescent="0.3">
      <c r="B17" s="3" t="s">
        <v>13</v>
      </c>
      <c r="C17" s="5">
        <v>0</v>
      </c>
      <c r="D17" s="5">
        <v>0</v>
      </c>
      <c r="E17" s="5">
        <v>0</v>
      </c>
      <c r="F17" s="5">
        <v>0</v>
      </c>
    </row>
    <row r="18" spans="2:6" ht="18" x14ac:dyDescent="0.3">
      <c r="B18" s="3" t="s">
        <v>14</v>
      </c>
      <c r="C18" s="4">
        <v>1621</v>
      </c>
      <c r="D18" s="4">
        <v>1918</v>
      </c>
      <c r="E18" s="4">
        <v>2261</v>
      </c>
      <c r="F18" s="4">
        <v>2692</v>
      </c>
    </row>
    <row r="19" spans="2:6" ht="18" x14ac:dyDescent="0.3">
      <c r="B19" s="3" t="s">
        <v>15</v>
      </c>
      <c r="C19" s="5">
        <v>0</v>
      </c>
      <c r="D19" s="5">
        <v>0</v>
      </c>
      <c r="E19" s="5">
        <v>0</v>
      </c>
      <c r="F19" s="5">
        <v>0</v>
      </c>
    </row>
    <row r="20" spans="2:6" ht="18" x14ac:dyDescent="0.3">
      <c r="B20" s="3" t="s">
        <v>16</v>
      </c>
      <c r="C20" s="5">
        <v>0</v>
      </c>
      <c r="D20" s="5">
        <v>0</v>
      </c>
      <c r="E20" s="5">
        <v>0</v>
      </c>
      <c r="F20" s="5">
        <v>0</v>
      </c>
    </row>
    <row r="21" spans="2:6" ht="18" x14ac:dyDescent="0.3">
      <c r="B21" s="3" t="s">
        <v>17</v>
      </c>
      <c r="C21" s="5">
        <v>0</v>
      </c>
      <c r="D21" s="5">
        <v>0</v>
      </c>
      <c r="E21" s="5">
        <v>0</v>
      </c>
      <c r="F21" s="5">
        <v>0</v>
      </c>
    </row>
    <row r="22" spans="2:6" ht="18" x14ac:dyDescent="0.3">
      <c r="B22" s="3" t="s">
        <v>18</v>
      </c>
      <c r="C22" s="5">
        <v>0</v>
      </c>
      <c r="D22" s="5">
        <v>0</v>
      </c>
      <c r="E22" s="5">
        <v>0</v>
      </c>
      <c r="F22" s="5">
        <v>0</v>
      </c>
    </row>
    <row r="23" spans="2:6" ht="18" x14ac:dyDescent="0.3">
      <c r="B23" s="3" t="s">
        <v>19</v>
      </c>
      <c r="C23" s="5">
        <v>0</v>
      </c>
      <c r="D23" s="5">
        <v>0</v>
      </c>
      <c r="E23" s="5">
        <v>0</v>
      </c>
      <c r="F23" s="5">
        <v>0</v>
      </c>
    </row>
    <row r="24" spans="2:6" ht="18" x14ac:dyDescent="0.3">
      <c r="B24" s="3" t="s">
        <v>20</v>
      </c>
      <c r="C24" s="5">
        <v>0</v>
      </c>
      <c r="D24" s="5">
        <v>0</v>
      </c>
      <c r="E24" s="5">
        <v>0</v>
      </c>
      <c r="F24" s="5">
        <v>0</v>
      </c>
    </row>
    <row r="25" spans="2:6" ht="17.399999999999999" x14ac:dyDescent="0.3">
      <c r="B25" s="10" t="s">
        <v>21</v>
      </c>
      <c r="C25" s="11">
        <v>1989</v>
      </c>
      <c r="D25" s="11">
        <v>1901</v>
      </c>
      <c r="E25" s="11">
        <v>2514</v>
      </c>
      <c r="F25" s="11">
        <v>3018</v>
      </c>
    </row>
    <row r="26" spans="2:6" ht="17.399999999999999" x14ac:dyDescent="0.3">
      <c r="B26" s="12" t="s">
        <v>22</v>
      </c>
      <c r="C26" s="13">
        <v>26</v>
      </c>
      <c r="D26" s="13">
        <v>22</v>
      </c>
      <c r="E26" s="13">
        <v>24</v>
      </c>
      <c r="F26" s="13">
        <v>25</v>
      </c>
    </row>
    <row r="27" spans="2:6" ht="17.399999999999999" x14ac:dyDescent="0.3">
      <c r="B27" s="6" t="s">
        <v>23</v>
      </c>
      <c r="C27" s="7">
        <v>167</v>
      </c>
      <c r="D27" s="7">
        <v>326</v>
      </c>
      <c r="E27" s="7">
        <v>378</v>
      </c>
      <c r="F27" s="7">
        <v>621</v>
      </c>
    </row>
    <row r="28" spans="2:6" ht="17.399999999999999" x14ac:dyDescent="0.3">
      <c r="B28" s="14" t="s">
        <v>24</v>
      </c>
      <c r="C28" s="15">
        <v>59</v>
      </c>
      <c r="D28" s="15">
        <v>44</v>
      </c>
      <c r="E28" s="15">
        <v>33</v>
      </c>
      <c r="F28" s="15">
        <v>429</v>
      </c>
    </row>
    <row r="29" spans="2:6" ht="17.399999999999999" x14ac:dyDescent="0.3">
      <c r="B29" s="6" t="s">
        <v>25</v>
      </c>
      <c r="C29" s="7">
        <v>196</v>
      </c>
      <c r="D29" s="7">
        <v>129</v>
      </c>
      <c r="E29" s="7">
        <v>280</v>
      </c>
      <c r="F29" s="7">
        <v>537</v>
      </c>
    </row>
    <row r="30" spans="2:6" ht="17.399999999999999" x14ac:dyDescent="0.3">
      <c r="B30" s="1" t="s">
        <v>26</v>
      </c>
      <c r="C30" s="2">
        <v>1975</v>
      </c>
      <c r="D30" s="2">
        <v>1671</v>
      </c>
      <c r="E30" s="2">
        <v>2398</v>
      </c>
      <c r="F30" s="2">
        <v>2516</v>
      </c>
    </row>
    <row r="31" spans="2:6" ht="18" x14ac:dyDescent="0.3">
      <c r="B31" s="8" t="s">
        <v>27</v>
      </c>
      <c r="C31" s="9">
        <v>1960</v>
      </c>
      <c r="D31" s="9">
        <v>1659</v>
      </c>
      <c r="E31" s="9">
        <v>2383</v>
      </c>
      <c r="F31" s="9">
        <v>2504</v>
      </c>
    </row>
    <row r="32" spans="2:6" ht="18" x14ac:dyDescent="0.3">
      <c r="B32" s="3" t="s">
        <v>28</v>
      </c>
      <c r="C32" s="5">
        <v>0</v>
      </c>
      <c r="D32" s="5">
        <v>0</v>
      </c>
      <c r="E32" s="5">
        <v>0</v>
      </c>
      <c r="F32" s="5">
        <v>0</v>
      </c>
    </row>
    <row r="33" spans="2:6" ht="18" x14ac:dyDescent="0.3">
      <c r="B33" s="3" t="s">
        <v>29</v>
      </c>
      <c r="C33" s="5">
        <v>0</v>
      </c>
      <c r="D33" s="5">
        <v>0</v>
      </c>
      <c r="E33" s="5">
        <v>0</v>
      </c>
      <c r="F33" s="5">
        <v>0</v>
      </c>
    </row>
    <row r="34" spans="2:6" ht="18" x14ac:dyDescent="0.3">
      <c r="B34" s="3" t="s">
        <v>30</v>
      </c>
      <c r="C34" s="5">
        <v>0</v>
      </c>
      <c r="D34" s="5">
        <v>0</v>
      </c>
      <c r="E34" s="5">
        <v>0</v>
      </c>
      <c r="F34" s="5">
        <v>0</v>
      </c>
    </row>
    <row r="35" spans="2:6" ht="18" x14ac:dyDescent="0.3">
      <c r="B35" s="3" t="s">
        <v>31</v>
      </c>
      <c r="C35" s="4">
        <v>1960</v>
      </c>
      <c r="D35" s="4">
        <v>1659</v>
      </c>
      <c r="E35" s="4">
        <v>2383</v>
      </c>
      <c r="F35" s="4">
        <v>2504</v>
      </c>
    </row>
    <row r="36" spans="2:6" ht="18" x14ac:dyDescent="0.3">
      <c r="B36" s="3" t="s">
        <v>32</v>
      </c>
      <c r="C36" s="5">
        <v>-14</v>
      </c>
      <c r="D36" s="5">
        <v>-12</v>
      </c>
      <c r="E36" s="5">
        <v>-15</v>
      </c>
      <c r="F36" s="5">
        <v>-12</v>
      </c>
    </row>
    <row r="37" spans="2:6" ht="17.399999999999999" x14ac:dyDescent="0.3">
      <c r="B37" s="16" t="s">
        <v>33</v>
      </c>
      <c r="C37" s="17">
        <v>522</v>
      </c>
      <c r="D37" s="17">
        <v>362</v>
      </c>
      <c r="E37" s="17">
        <v>457</v>
      </c>
      <c r="F37" s="17">
        <v>510</v>
      </c>
    </row>
    <row r="38" spans="2:6" ht="18" x14ac:dyDescent="0.3">
      <c r="B38" s="18" t="s">
        <v>34</v>
      </c>
      <c r="C38" s="19">
        <v>469</v>
      </c>
      <c r="D38" s="19">
        <v>328</v>
      </c>
      <c r="E38" s="19">
        <v>493</v>
      </c>
      <c r="F38" s="19">
        <v>596</v>
      </c>
    </row>
    <row r="39" spans="2:6" ht="18" x14ac:dyDescent="0.3">
      <c r="B39" s="18" t="s">
        <v>35</v>
      </c>
      <c r="C39" s="19">
        <v>53</v>
      </c>
      <c r="D39" s="19">
        <v>34</v>
      </c>
      <c r="E39" s="19">
        <v>-35</v>
      </c>
      <c r="F39" s="19">
        <v>-86</v>
      </c>
    </row>
    <row r="40" spans="2:6" ht="18" x14ac:dyDescent="0.3">
      <c r="B40" s="18" t="s">
        <v>36</v>
      </c>
      <c r="C40" s="19">
        <v>0</v>
      </c>
      <c r="D40" s="19">
        <v>0</v>
      </c>
      <c r="E40" s="19">
        <v>0</v>
      </c>
      <c r="F40" s="19">
        <v>0</v>
      </c>
    </row>
    <row r="41" spans="2:6" ht="18" x14ac:dyDescent="0.3">
      <c r="B41" s="18" t="s">
        <v>37</v>
      </c>
      <c r="C41" s="19">
        <v>0</v>
      </c>
      <c r="D41" s="19">
        <v>0</v>
      </c>
      <c r="E41" s="19">
        <v>0</v>
      </c>
      <c r="F41" s="19">
        <v>0</v>
      </c>
    </row>
    <row r="42" spans="2:6" ht="18" x14ac:dyDescent="0.3">
      <c r="B42" s="18" t="s">
        <v>38</v>
      </c>
      <c r="C42" s="19">
        <v>0</v>
      </c>
      <c r="D42" s="19">
        <v>0</v>
      </c>
      <c r="E42" s="19">
        <v>0</v>
      </c>
      <c r="F42" s="19">
        <v>0</v>
      </c>
    </row>
    <row r="43" spans="2:6" ht="18" x14ac:dyDescent="0.3">
      <c r="B43" s="18" t="s">
        <v>39</v>
      </c>
      <c r="C43" s="19">
        <v>0</v>
      </c>
      <c r="D43" s="19">
        <v>0</v>
      </c>
      <c r="E43" s="19">
        <v>0</v>
      </c>
      <c r="F43" s="19">
        <v>0</v>
      </c>
    </row>
    <row r="44" spans="2:6" ht="17.399999999999999" x14ac:dyDescent="0.3">
      <c r="B44" s="14" t="s">
        <v>40</v>
      </c>
      <c r="C44" s="15">
        <v>26</v>
      </c>
      <c r="D44" s="15">
        <v>22</v>
      </c>
      <c r="E44" s="15">
        <v>19</v>
      </c>
      <c r="F44" s="15">
        <v>20</v>
      </c>
    </row>
    <row r="45" spans="2:6" ht="17.399999999999999" x14ac:dyDescent="0.3">
      <c r="B45" s="16" t="s">
        <v>41</v>
      </c>
      <c r="C45" s="20">
        <v>1453</v>
      </c>
      <c r="D45" s="20">
        <v>1310</v>
      </c>
      <c r="E45" s="20">
        <v>1942</v>
      </c>
      <c r="F45" s="20">
        <v>2011</v>
      </c>
    </row>
    <row r="46" spans="2:6" ht="18" x14ac:dyDescent="0.3">
      <c r="B46" s="18" t="s">
        <v>42</v>
      </c>
      <c r="C46" s="21">
        <v>1453</v>
      </c>
      <c r="D46" s="21">
        <v>1310</v>
      </c>
      <c r="E46" s="21">
        <v>1941</v>
      </c>
      <c r="F46" s="21">
        <v>2007</v>
      </c>
    </row>
    <row r="47" spans="2:6" ht="18" x14ac:dyDescent="0.3">
      <c r="B47" s="22" t="s">
        <v>43</v>
      </c>
      <c r="C47" s="23">
        <v>0</v>
      </c>
      <c r="D47" s="23">
        <v>0</v>
      </c>
      <c r="E47" s="23">
        <v>1</v>
      </c>
      <c r="F47" s="23">
        <v>4.5</v>
      </c>
    </row>
    <row r="48" spans="2:6" ht="18" x14ac:dyDescent="0.3">
      <c r="B48" s="18" t="s">
        <v>44</v>
      </c>
      <c r="C48" s="19">
        <v>0</v>
      </c>
      <c r="D48" s="19">
        <v>0</v>
      </c>
      <c r="E48" s="19">
        <v>1.4</v>
      </c>
      <c r="F48" s="19">
        <v>8.4</v>
      </c>
    </row>
    <row r="49" spans="2:6" ht="18" x14ac:dyDescent="0.3">
      <c r="B49" s="18" t="s">
        <v>45</v>
      </c>
      <c r="C49" s="19">
        <v>0</v>
      </c>
      <c r="D49" s="19">
        <v>0</v>
      </c>
      <c r="E49" s="19">
        <v>-0.4</v>
      </c>
      <c r="F49" s="19">
        <v>-3.9</v>
      </c>
    </row>
    <row r="50" spans="2:6" ht="18" x14ac:dyDescent="0.3">
      <c r="B50" s="18" t="s">
        <v>46</v>
      </c>
      <c r="C50" s="19">
        <v>0</v>
      </c>
      <c r="D50" s="19">
        <v>0</v>
      </c>
      <c r="E50" s="19">
        <v>0</v>
      </c>
      <c r="F50" s="19">
        <v>0</v>
      </c>
    </row>
    <row r="51" spans="2:6" ht="18" x14ac:dyDescent="0.3">
      <c r="B51" s="18" t="s">
        <v>47</v>
      </c>
      <c r="C51" s="19">
        <v>19</v>
      </c>
      <c r="D51" s="19">
        <v>15</v>
      </c>
      <c r="E51" s="19">
        <v>19</v>
      </c>
      <c r="F51" s="19">
        <v>16</v>
      </c>
    </row>
    <row r="52" spans="2:6" ht="18" x14ac:dyDescent="0.3">
      <c r="B52" s="18" t="s">
        <v>48</v>
      </c>
      <c r="C52" s="21">
        <v>1433</v>
      </c>
      <c r="D52" s="21">
        <v>1282</v>
      </c>
      <c r="E52" s="21">
        <v>1913</v>
      </c>
      <c r="F52" s="21">
        <v>1991</v>
      </c>
    </row>
    <row r="53" spans="2:6" ht="18" x14ac:dyDescent="0.3">
      <c r="B53" s="18" t="s">
        <v>49</v>
      </c>
      <c r="C53" s="19">
        <v>19</v>
      </c>
      <c r="D53" s="19">
        <v>28</v>
      </c>
      <c r="E53" s="19">
        <v>29</v>
      </c>
      <c r="F53" s="19">
        <v>20</v>
      </c>
    </row>
    <row r="54" spans="2:6" ht="17.399999999999999" x14ac:dyDescent="0.3">
      <c r="B54" s="1" t="s">
        <v>50</v>
      </c>
      <c r="C54" s="24">
        <v>0.9</v>
      </c>
      <c r="D54" s="24">
        <v>-1.9</v>
      </c>
      <c r="E54" s="24">
        <v>-8</v>
      </c>
      <c r="F54" s="24">
        <v>-8.3000000000000007</v>
      </c>
    </row>
    <row r="55" spans="2:6" ht="18" x14ac:dyDescent="0.3">
      <c r="B55" s="8" t="s">
        <v>51</v>
      </c>
      <c r="C55" s="25">
        <v>-0.9</v>
      </c>
      <c r="D55" s="25">
        <v>-7.4</v>
      </c>
      <c r="E55" s="25">
        <v>-9.6999999999999993</v>
      </c>
      <c r="F55" s="25">
        <v>-5.6</v>
      </c>
    </row>
    <row r="56" spans="2:6" ht="18" x14ac:dyDescent="0.3">
      <c r="B56" s="3" t="s">
        <v>52</v>
      </c>
      <c r="C56" s="5">
        <v>0.3</v>
      </c>
      <c r="D56" s="5">
        <v>2.6</v>
      </c>
      <c r="E56" s="5">
        <v>3.6</v>
      </c>
      <c r="F56" s="5">
        <v>3.5</v>
      </c>
    </row>
    <row r="57" spans="2:6" ht="18" x14ac:dyDescent="0.3">
      <c r="B57" s="8" t="s">
        <v>53</v>
      </c>
      <c r="C57" s="25">
        <v>1.5</v>
      </c>
      <c r="D57" s="25">
        <v>2.9</v>
      </c>
      <c r="E57" s="25">
        <v>-1.9</v>
      </c>
      <c r="F57" s="25">
        <v>-6.2</v>
      </c>
    </row>
    <row r="58" spans="2:6" ht="18" x14ac:dyDescent="0.3">
      <c r="B58" s="18" t="s">
        <v>54</v>
      </c>
      <c r="C58" s="19">
        <v>0</v>
      </c>
      <c r="D58" s="19">
        <v>0</v>
      </c>
      <c r="E58" s="19">
        <v>0</v>
      </c>
      <c r="F58" s="19">
        <v>0</v>
      </c>
    </row>
    <row r="59" spans="2:6" ht="18" x14ac:dyDescent="0.3">
      <c r="B59" s="3" t="s">
        <v>55</v>
      </c>
      <c r="C59" s="5">
        <v>0</v>
      </c>
      <c r="D59" s="5">
        <v>0</v>
      </c>
      <c r="E59" s="5">
        <v>0</v>
      </c>
      <c r="F59" s="5">
        <v>0</v>
      </c>
    </row>
    <row r="60" spans="2:6" ht="18" x14ac:dyDescent="0.3">
      <c r="B60" s="3" t="s">
        <v>56</v>
      </c>
      <c r="C60" s="5">
        <v>0</v>
      </c>
      <c r="D60" s="5">
        <v>0</v>
      </c>
      <c r="E60" s="5">
        <v>0</v>
      </c>
      <c r="F60" s="5">
        <v>0</v>
      </c>
    </row>
    <row r="61" spans="2:6" ht="18" x14ac:dyDescent="0.3">
      <c r="B61" s="3" t="s">
        <v>57</v>
      </c>
      <c r="C61" s="5">
        <v>0.6</v>
      </c>
      <c r="D61" s="5">
        <v>-1.9</v>
      </c>
      <c r="E61" s="5">
        <v>-8.1999999999999993</v>
      </c>
      <c r="F61" s="5">
        <v>-8.1</v>
      </c>
    </row>
    <row r="62" spans="2:6" ht="18" x14ac:dyDescent="0.3">
      <c r="B62" s="3" t="s">
        <v>58</v>
      </c>
      <c r="C62" s="5">
        <v>0.3</v>
      </c>
      <c r="D62" s="5">
        <v>0</v>
      </c>
      <c r="E62" s="5">
        <v>0.2</v>
      </c>
      <c r="F62" s="5">
        <v>-0.2</v>
      </c>
    </row>
    <row r="63" spans="2:6" ht="17.399999999999999" x14ac:dyDescent="0.3">
      <c r="B63" s="16" t="s">
        <v>59</v>
      </c>
      <c r="C63" s="20">
        <v>1454</v>
      </c>
      <c r="D63" s="20">
        <v>1308</v>
      </c>
      <c r="E63" s="20">
        <v>1934</v>
      </c>
      <c r="F63" s="20">
        <v>2003</v>
      </c>
    </row>
    <row r="64" spans="2:6" ht="18" x14ac:dyDescent="0.3">
      <c r="B64" s="18" t="s">
        <v>60</v>
      </c>
      <c r="C64" s="21">
        <v>1434</v>
      </c>
      <c r="D64" s="21">
        <v>1280</v>
      </c>
      <c r="E64" s="21">
        <v>1905</v>
      </c>
      <c r="F64" s="21">
        <v>1983</v>
      </c>
    </row>
    <row r="65" spans="2:6" ht="18" x14ac:dyDescent="0.3">
      <c r="B65" s="18" t="s">
        <v>61</v>
      </c>
      <c r="C65" s="19">
        <v>20</v>
      </c>
      <c r="D65" s="19">
        <v>28</v>
      </c>
      <c r="E65" s="19">
        <v>29</v>
      </c>
      <c r="F65" s="19">
        <v>20</v>
      </c>
    </row>
    <row r="66" spans="2:6" ht="17.399999999999999" x14ac:dyDescent="0.3">
      <c r="B66" s="1" t="s">
        <v>62</v>
      </c>
      <c r="C66" s="24">
        <v>36</v>
      </c>
      <c r="D66" s="24">
        <v>32</v>
      </c>
      <c r="E66" s="24">
        <v>48</v>
      </c>
      <c r="F66" s="24">
        <v>49</v>
      </c>
    </row>
    <row r="67" spans="2:6" ht="18" x14ac:dyDescent="0.3">
      <c r="B67" s="3" t="s">
        <v>63</v>
      </c>
      <c r="C67" s="5">
        <v>36</v>
      </c>
      <c r="D67" s="5">
        <v>32</v>
      </c>
      <c r="E67" s="5">
        <v>48</v>
      </c>
      <c r="F67" s="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7"/>
  <sheetViews>
    <sheetView showGridLines="0" workbookViewId="0">
      <pane ySplit="2" topLeftCell="A38" activePane="bottomLeft" state="frozen"/>
      <selection pane="bottomLeft" activeCell="E48" sqref="E48"/>
    </sheetView>
  </sheetViews>
  <sheetFormatPr defaultRowHeight="14.4" x14ac:dyDescent="0.3"/>
  <cols>
    <col min="2" max="2" width="80.33203125" bestFit="1" customWidth="1"/>
    <col min="3" max="11" width="9.44140625" bestFit="1" customWidth="1"/>
    <col min="12" max="12" width="10" bestFit="1" customWidth="1"/>
  </cols>
  <sheetData>
    <row r="2" spans="2:12" ht="17.399999999999999" x14ac:dyDescent="0.3">
      <c r="B2" s="32" t="s">
        <v>65</v>
      </c>
      <c r="C2" s="33">
        <v>42064</v>
      </c>
      <c r="D2" s="33">
        <v>42430</v>
      </c>
      <c r="E2" s="33">
        <v>42795</v>
      </c>
      <c r="F2" s="33">
        <v>43160</v>
      </c>
      <c r="G2" s="33">
        <v>43525</v>
      </c>
      <c r="H2" s="33">
        <v>43891</v>
      </c>
      <c r="I2" s="33">
        <v>44256</v>
      </c>
      <c r="J2" s="33">
        <v>44621</v>
      </c>
      <c r="K2" s="33">
        <v>44986</v>
      </c>
      <c r="L2" s="33">
        <v>45352</v>
      </c>
    </row>
    <row r="3" spans="2:12" x14ac:dyDescent="0.3">
      <c r="B3" s="26" t="s">
        <v>0</v>
      </c>
      <c r="C3" s="26">
        <v>3323</v>
      </c>
      <c r="D3" s="26">
        <v>3944</v>
      </c>
      <c r="E3" s="26">
        <v>4382</v>
      </c>
      <c r="F3" s="26">
        <v>4921</v>
      </c>
      <c r="G3" s="26">
        <v>4980</v>
      </c>
      <c r="H3" s="26">
        <v>5872</v>
      </c>
      <c r="I3" s="26">
        <v>6214</v>
      </c>
      <c r="J3" s="26">
        <v>7782</v>
      </c>
      <c r="K3" s="26">
        <v>8749</v>
      </c>
      <c r="L3" s="26">
        <v>10335</v>
      </c>
    </row>
    <row r="4" spans="2:12" x14ac:dyDescent="0.3">
      <c r="B4" s="26" t="s">
        <v>66</v>
      </c>
      <c r="C4" s="26">
        <v>3328</v>
      </c>
      <c r="D4" s="26">
        <v>3951</v>
      </c>
      <c r="E4" s="26">
        <v>4412</v>
      </c>
      <c r="F4" s="26">
        <v>4924</v>
      </c>
      <c r="G4" s="26">
        <v>4969</v>
      </c>
      <c r="H4" s="26">
        <v>6092</v>
      </c>
      <c r="I4" s="26">
        <v>6464</v>
      </c>
      <c r="J4" s="26">
        <v>8067</v>
      </c>
      <c r="K4" s="26">
        <v>9048</v>
      </c>
      <c r="L4" s="26">
        <v>10628</v>
      </c>
    </row>
    <row r="5" spans="2:12" x14ac:dyDescent="0.3">
      <c r="B5" t="s">
        <v>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34</v>
      </c>
      <c r="L5">
        <v>21</v>
      </c>
    </row>
    <row r="6" spans="2:12" x14ac:dyDescent="0.3">
      <c r="B6" t="s">
        <v>68</v>
      </c>
      <c r="C6">
        <v>5.0999999999999996</v>
      </c>
      <c r="D6">
        <v>5.9</v>
      </c>
      <c r="E6">
        <v>5</v>
      </c>
      <c r="F6">
        <v>5.7</v>
      </c>
      <c r="G6">
        <v>5.7</v>
      </c>
      <c r="H6">
        <v>1.6</v>
      </c>
      <c r="I6">
        <v>2.5</v>
      </c>
      <c r="J6">
        <v>3.5</v>
      </c>
      <c r="K6">
        <v>23</v>
      </c>
      <c r="L6">
        <v>103</v>
      </c>
    </row>
    <row r="7" spans="2:12" x14ac:dyDescent="0.3">
      <c r="B7" t="s">
        <v>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2" x14ac:dyDescent="0.3">
      <c r="B8" t="s">
        <v>70</v>
      </c>
      <c r="C8">
        <v>1.2</v>
      </c>
      <c r="D8">
        <v>14</v>
      </c>
      <c r="E8">
        <v>1.4</v>
      </c>
      <c r="F8">
        <v>2.5</v>
      </c>
      <c r="G8">
        <v>5.0999999999999996</v>
      </c>
      <c r="H8">
        <v>6.8</v>
      </c>
      <c r="I8">
        <v>0</v>
      </c>
      <c r="J8">
        <v>0</v>
      </c>
      <c r="K8">
        <v>0</v>
      </c>
      <c r="L8">
        <v>0</v>
      </c>
    </row>
    <row r="9" spans="2:12" x14ac:dyDescent="0.3">
      <c r="B9" s="26" t="s">
        <v>71</v>
      </c>
      <c r="C9" s="26">
        <v>11</v>
      </c>
      <c r="D9" s="26">
        <v>27</v>
      </c>
      <c r="E9" s="26">
        <v>36</v>
      </c>
      <c r="F9" s="26">
        <v>11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</row>
    <row r="10" spans="2:12" x14ac:dyDescent="0.3">
      <c r="B10" s="26" t="s">
        <v>6</v>
      </c>
      <c r="C10" s="26">
        <v>2738</v>
      </c>
      <c r="D10" s="26">
        <v>3185</v>
      </c>
      <c r="E10" s="26">
        <v>3531</v>
      </c>
      <c r="F10" s="26">
        <v>3927</v>
      </c>
      <c r="G10" s="26">
        <v>4055</v>
      </c>
      <c r="H10" s="26">
        <v>4427</v>
      </c>
      <c r="I10" s="26">
        <v>4565</v>
      </c>
      <c r="J10" s="26">
        <v>5791</v>
      </c>
      <c r="K10" s="26">
        <v>6848</v>
      </c>
      <c r="L10" s="26">
        <v>7798</v>
      </c>
    </row>
    <row r="11" spans="2:12" x14ac:dyDescent="0.3">
      <c r="B11" s="26" t="s">
        <v>7</v>
      </c>
      <c r="C11" s="26">
        <v>1393</v>
      </c>
      <c r="D11" s="26">
        <v>1551</v>
      </c>
      <c r="E11" s="26">
        <v>1586</v>
      </c>
      <c r="F11" s="26">
        <v>1671</v>
      </c>
      <c r="G11" s="26">
        <v>1721</v>
      </c>
      <c r="H11" s="26">
        <v>1878</v>
      </c>
      <c r="I11" s="26">
        <v>1781</v>
      </c>
      <c r="J11" s="26">
        <v>2422</v>
      </c>
      <c r="K11" s="26">
        <v>2914</v>
      </c>
      <c r="L11" s="26">
        <v>3210</v>
      </c>
    </row>
    <row r="12" spans="2:12" x14ac:dyDescent="0.3">
      <c r="B12" t="s">
        <v>72</v>
      </c>
      <c r="C12">
        <v>0</v>
      </c>
      <c r="D12">
        <v>36</v>
      </c>
      <c r="E12">
        <v>30</v>
      </c>
      <c r="F12">
        <v>69</v>
      </c>
      <c r="G12">
        <v>127</v>
      </c>
      <c r="H12">
        <v>160</v>
      </c>
      <c r="I12">
        <v>249</v>
      </c>
      <c r="J12">
        <v>284</v>
      </c>
      <c r="K12">
        <v>399</v>
      </c>
      <c r="L12">
        <v>414</v>
      </c>
    </row>
    <row r="13" spans="2:12" x14ac:dyDescent="0.3">
      <c r="B13" t="s">
        <v>73</v>
      </c>
      <c r="C13">
        <v>181</v>
      </c>
      <c r="D13">
        <v>164</v>
      </c>
      <c r="E13">
        <v>617</v>
      </c>
      <c r="F13">
        <v>805</v>
      </c>
      <c r="G13">
        <v>982</v>
      </c>
      <c r="H13">
        <v>1370</v>
      </c>
      <c r="I13">
        <v>1407</v>
      </c>
      <c r="J13">
        <v>2173</v>
      </c>
      <c r="K13">
        <v>1829</v>
      </c>
      <c r="L13">
        <v>1849</v>
      </c>
    </row>
    <row r="14" spans="2:12" x14ac:dyDescent="0.3">
      <c r="B14" t="s">
        <v>74</v>
      </c>
      <c r="C14">
        <v>36</v>
      </c>
      <c r="D14">
        <v>30</v>
      </c>
      <c r="E14">
        <v>69</v>
      </c>
      <c r="F14">
        <v>127</v>
      </c>
      <c r="G14">
        <v>177</v>
      </c>
      <c r="H14">
        <v>233</v>
      </c>
      <c r="I14">
        <v>284</v>
      </c>
      <c r="J14">
        <v>399</v>
      </c>
      <c r="K14">
        <v>414</v>
      </c>
      <c r="L14">
        <v>409</v>
      </c>
    </row>
    <row r="15" spans="2:12" x14ac:dyDescent="0.3">
      <c r="B15" t="s">
        <v>75</v>
      </c>
      <c r="C15">
        <v>-94</v>
      </c>
      <c r="D15">
        <v>-25</v>
      </c>
      <c r="E15">
        <v>-129</v>
      </c>
      <c r="F15">
        <v>73</v>
      </c>
      <c r="G15">
        <v>12</v>
      </c>
      <c r="H15">
        <v>-10</v>
      </c>
      <c r="I15">
        <v>-247</v>
      </c>
      <c r="J15">
        <v>-450</v>
      </c>
      <c r="K15">
        <v>291</v>
      </c>
      <c r="L15">
        <v>-54</v>
      </c>
    </row>
    <row r="16" spans="2:12" x14ac:dyDescent="0.3">
      <c r="B16" t="s">
        <v>76</v>
      </c>
      <c r="C16">
        <v>1342</v>
      </c>
      <c r="D16">
        <v>1406</v>
      </c>
      <c r="E16">
        <v>1136</v>
      </c>
      <c r="F16">
        <v>850</v>
      </c>
      <c r="G16">
        <v>777</v>
      </c>
      <c r="H16">
        <v>591</v>
      </c>
      <c r="I16">
        <v>655</v>
      </c>
      <c r="J16">
        <v>814</v>
      </c>
      <c r="K16">
        <v>809</v>
      </c>
      <c r="L16">
        <v>1410</v>
      </c>
    </row>
    <row r="17" spans="2:12" x14ac:dyDescent="0.3">
      <c r="B17" t="s">
        <v>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2:12" x14ac:dyDescent="0.3">
      <c r="B18" s="26" t="s">
        <v>11</v>
      </c>
      <c r="C18" s="26">
        <v>1930</v>
      </c>
      <c r="D18" s="26">
        <v>2393</v>
      </c>
      <c r="E18" s="26">
        <v>2796</v>
      </c>
      <c r="F18" s="26">
        <v>3250</v>
      </c>
      <c r="G18" s="26">
        <v>3259</v>
      </c>
      <c r="H18" s="26">
        <v>3994</v>
      </c>
      <c r="I18" s="26">
        <v>4434</v>
      </c>
      <c r="J18" s="26">
        <v>5360</v>
      </c>
      <c r="K18" s="26">
        <v>5836</v>
      </c>
      <c r="L18" s="26">
        <v>7125</v>
      </c>
    </row>
    <row r="19" spans="2:12" x14ac:dyDescent="0.3">
      <c r="B19" t="s">
        <v>5</v>
      </c>
      <c r="C19">
        <v>58</v>
      </c>
      <c r="D19">
        <v>61</v>
      </c>
      <c r="E19">
        <v>64</v>
      </c>
      <c r="F19">
        <v>66</v>
      </c>
      <c r="G19">
        <v>65</v>
      </c>
      <c r="H19">
        <v>68</v>
      </c>
      <c r="I19">
        <v>71</v>
      </c>
      <c r="J19">
        <v>69</v>
      </c>
      <c r="K19">
        <v>67</v>
      </c>
      <c r="L19">
        <v>69</v>
      </c>
    </row>
    <row r="20" spans="2:12" x14ac:dyDescent="0.3">
      <c r="B20" t="s">
        <v>78</v>
      </c>
      <c r="C20">
        <v>560</v>
      </c>
      <c r="D20">
        <v>737</v>
      </c>
      <c r="E20">
        <v>884</v>
      </c>
      <c r="F20">
        <v>1077</v>
      </c>
      <c r="G20">
        <v>1095</v>
      </c>
      <c r="H20">
        <v>1336</v>
      </c>
      <c r="I20">
        <v>1416</v>
      </c>
      <c r="J20">
        <v>1621</v>
      </c>
      <c r="K20">
        <v>1918</v>
      </c>
      <c r="L20">
        <v>2275</v>
      </c>
    </row>
    <row r="21" spans="2:12" x14ac:dyDescent="0.3">
      <c r="B21" t="s">
        <v>79</v>
      </c>
      <c r="C21">
        <v>530</v>
      </c>
      <c r="D21">
        <v>706</v>
      </c>
      <c r="E21">
        <v>844</v>
      </c>
      <c r="F21">
        <v>1025</v>
      </c>
      <c r="G21">
        <v>1037</v>
      </c>
      <c r="H21">
        <v>1271</v>
      </c>
      <c r="I21">
        <v>1330</v>
      </c>
      <c r="J21">
        <v>1515</v>
      </c>
      <c r="K21">
        <v>1788</v>
      </c>
      <c r="L21">
        <v>2106</v>
      </c>
    </row>
    <row r="22" spans="2:12" x14ac:dyDescent="0.3">
      <c r="B22" t="s">
        <v>80</v>
      </c>
      <c r="C22">
        <v>28</v>
      </c>
      <c r="D22">
        <v>26</v>
      </c>
      <c r="E22">
        <v>31</v>
      </c>
      <c r="F22">
        <v>45</v>
      </c>
      <c r="G22">
        <v>39</v>
      </c>
      <c r="H22">
        <v>43</v>
      </c>
      <c r="I22">
        <v>59</v>
      </c>
      <c r="J22">
        <v>74</v>
      </c>
      <c r="K22">
        <v>89</v>
      </c>
      <c r="L22">
        <v>101</v>
      </c>
    </row>
    <row r="23" spans="2:12" x14ac:dyDescent="0.3">
      <c r="B23" t="s">
        <v>81</v>
      </c>
      <c r="C23">
        <v>2.9</v>
      </c>
      <c r="D23">
        <v>5.6</v>
      </c>
      <c r="E23">
        <v>8.4</v>
      </c>
      <c r="F23">
        <v>5.9</v>
      </c>
      <c r="G23">
        <v>7.8</v>
      </c>
      <c r="H23">
        <v>8.9</v>
      </c>
      <c r="I23">
        <v>12</v>
      </c>
      <c r="J23">
        <v>15</v>
      </c>
      <c r="K23">
        <v>22</v>
      </c>
      <c r="L23">
        <v>21</v>
      </c>
    </row>
    <row r="24" spans="2:12" x14ac:dyDescent="0.3">
      <c r="B24" t="s">
        <v>82</v>
      </c>
      <c r="C24">
        <v>0</v>
      </c>
      <c r="D24">
        <v>0</v>
      </c>
      <c r="E24">
        <v>0</v>
      </c>
      <c r="F24">
        <v>0.6</v>
      </c>
      <c r="G24">
        <v>11</v>
      </c>
      <c r="H24">
        <v>12</v>
      </c>
      <c r="I24">
        <v>15</v>
      </c>
      <c r="J24">
        <v>17</v>
      </c>
      <c r="K24">
        <v>20</v>
      </c>
      <c r="L24">
        <v>47</v>
      </c>
    </row>
    <row r="25" spans="2:12" x14ac:dyDescent="0.3">
      <c r="B25" t="s">
        <v>83</v>
      </c>
      <c r="C25">
        <v>10</v>
      </c>
      <c r="D25">
        <v>15</v>
      </c>
      <c r="E25">
        <v>25</v>
      </c>
      <c r="F25">
        <v>42</v>
      </c>
      <c r="G25">
        <v>64</v>
      </c>
      <c r="H25">
        <v>80</v>
      </c>
      <c r="I25">
        <v>83</v>
      </c>
      <c r="J25">
        <v>103</v>
      </c>
      <c r="K25">
        <v>109</v>
      </c>
      <c r="L25">
        <v>129</v>
      </c>
    </row>
    <row r="26" spans="2:12" x14ac:dyDescent="0.3">
      <c r="B26" t="s">
        <v>84</v>
      </c>
      <c r="C26">
        <v>10</v>
      </c>
      <c r="D26">
        <v>15</v>
      </c>
      <c r="E26">
        <v>25</v>
      </c>
      <c r="F26">
        <v>42</v>
      </c>
      <c r="G26">
        <v>64</v>
      </c>
      <c r="H26">
        <v>80</v>
      </c>
      <c r="I26">
        <v>83</v>
      </c>
      <c r="J26">
        <v>103</v>
      </c>
      <c r="K26">
        <v>109</v>
      </c>
      <c r="L26">
        <v>129</v>
      </c>
    </row>
    <row r="27" spans="2:12" x14ac:dyDescent="0.3"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2:12" x14ac:dyDescent="0.3">
      <c r="B28" t="s">
        <v>86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2:12" x14ac:dyDescent="0.3">
      <c r="B29" t="s">
        <v>87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2:12" x14ac:dyDescent="0.3">
      <c r="B30" t="s">
        <v>88</v>
      </c>
      <c r="C30">
        <v>299</v>
      </c>
      <c r="D30">
        <v>317</v>
      </c>
      <c r="E30">
        <v>362</v>
      </c>
      <c r="F30">
        <v>424</v>
      </c>
      <c r="G30">
        <v>508</v>
      </c>
      <c r="H30">
        <v>439</v>
      </c>
      <c r="I30">
        <v>452</v>
      </c>
      <c r="J30">
        <v>656</v>
      </c>
      <c r="K30">
        <v>1001</v>
      </c>
      <c r="L30">
        <v>983</v>
      </c>
    </row>
    <row r="31" spans="2:12" x14ac:dyDescent="0.3">
      <c r="B31" t="s">
        <v>89</v>
      </c>
      <c r="C31">
        <v>26</v>
      </c>
      <c r="D31">
        <v>25</v>
      </c>
      <c r="E31">
        <v>31</v>
      </c>
      <c r="F31">
        <v>28</v>
      </c>
      <c r="G31">
        <v>60</v>
      </c>
      <c r="H31">
        <v>61</v>
      </c>
      <c r="I31">
        <v>59</v>
      </c>
      <c r="J31">
        <v>84</v>
      </c>
      <c r="K31">
        <v>132</v>
      </c>
      <c r="L31">
        <v>91</v>
      </c>
    </row>
    <row r="32" spans="2:12" x14ac:dyDescent="0.3">
      <c r="B32" t="s">
        <v>90</v>
      </c>
      <c r="C32">
        <v>4.4000000000000004</v>
      </c>
      <c r="D32">
        <v>6.1</v>
      </c>
      <c r="E32">
        <v>6.2</v>
      </c>
      <c r="F32">
        <v>7</v>
      </c>
      <c r="G32">
        <v>7.1</v>
      </c>
      <c r="H32">
        <v>8.4</v>
      </c>
      <c r="I32">
        <v>10</v>
      </c>
      <c r="J32">
        <v>14</v>
      </c>
      <c r="K32">
        <v>15</v>
      </c>
      <c r="L32">
        <v>19</v>
      </c>
    </row>
    <row r="33" spans="2:12" x14ac:dyDescent="0.3">
      <c r="B33" t="s">
        <v>91</v>
      </c>
      <c r="C33">
        <v>2.7</v>
      </c>
      <c r="D33">
        <v>2.9</v>
      </c>
      <c r="E33">
        <v>3.3</v>
      </c>
      <c r="F33">
        <v>4.8</v>
      </c>
      <c r="G33">
        <v>5.0999999999999996</v>
      </c>
      <c r="H33">
        <v>4.3</v>
      </c>
      <c r="I33">
        <v>5.3</v>
      </c>
      <c r="J33">
        <v>7</v>
      </c>
      <c r="K33">
        <v>10</v>
      </c>
      <c r="L33">
        <v>9.6999999999999993</v>
      </c>
    </row>
    <row r="34" spans="2:12" x14ac:dyDescent="0.3">
      <c r="B34" t="s">
        <v>92</v>
      </c>
      <c r="C34">
        <v>5.4</v>
      </c>
      <c r="D34">
        <v>8.1999999999999993</v>
      </c>
      <c r="E34">
        <v>10</v>
      </c>
      <c r="F34">
        <v>16</v>
      </c>
      <c r="G34">
        <v>64</v>
      </c>
      <c r="H34">
        <v>31</v>
      </c>
      <c r="I34">
        <v>49</v>
      </c>
      <c r="J34">
        <v>88</v>
      </c>
      <c r="K34">
        <v>169</v>
      </c>
      <c r="L34">
        <v>208</v>
      </c>
    </row>
    <row r="35" spans="2:12" x14ac:dyDescent="0.3">
      <c r="B35" t="s">
        <v>93</v>
      </c>
      <c r="C35">
        <v>169</v>
      </c>
      <c r="D35">
        <v>211</v>
      </c>
      <c r="E35">
        <v>243</v>
      </c>
      <c r="F35">
        <v>294</v>
      </c>
      <c r="G35">
        <v>297</v>
      </c>
      <c r="H35">
        <v>270</v>
      </c>
      <c r="I35">
        <v>270</v>
      </c>
      <c r="J35">
        <v>358</v>
      </c>
      <c r="K35">
        <v>496</v>
      </c>
      <c r="L35">
        <v>378</v>
      </c>
    </row>
    <row r="36" spans="2:12" x14ac:dyDescent="0.3">
      <c r="B36" t="s">
        <v>94</v>
      </c>
      <c r="C36">
        <v>91</v>
      </c>
      <c r="D36">
        <v>64</v>
      </c>
      <c r="E36">
        <v>69</v>
      </c>
      <c r="F36">
        <v>74</v>
      </c>
      <c r="G36">
        <v>75</v>
      </c>
      <c r="H36">
        <v>65</v>
      </c>
      <c r="I36">
        <v>58</v>
      </c>
      <c r="J36">
        <v>105</v>
      </c>
      <c r="K36">
        <v>178</v>
      </c>
      <c r="L36">
        <v>278</v>
      </c>
    </row>
    <row r="37" spans="2:12" x14ac:dyDescent="0.3">
      <c r="B37" t="s">
        <v>95</v>
      </c>
      <c r="C37">
        <v>313</v>
      </c>
      <c r="D37">
        <v>500</v>
      </c>
      <c r="E37">
        <v>558</v>
      </c>
      <c r="F37">
        <v>542</v>
      </c>
      <c r="G37">
        <v>522</v>
      </c>
      <c r="H37">
        <v>427</v>
      </c>
      <c r="I37">
        <v>588</v>
      </c>
      <c r="J37">
        <v>708</v>
      </c>
      <c r="K37">
        <v>638</v>
      </c>
      <c r="L37">
        <v>929</v>
      </c>
    </row>
    <row r="38" spans="2:12" x14ac:dyDescent="0.3">
      <c r="B38" t="s">
        <v>96</v>
      </c>
      <c r="C38">
        <v>270</v>
      </c>
      <c r="D38">
        <v>354</v>
      </c>
      <c r="E38">
        <v>394</v>
      </c>
      <c r="F38">
        <v>372</v>
      </c>
      <c r="G38">
        <v>357</v>
      </c>
      <c r="H38">
        <v>255</v>
      </c>
      <c r="I38">
        <v>386</v>
      </c>
      <c r="J38">
        <v>452</v>
      </c>
      <c r="K38">
        <v>374</v>
      </c>
      <c r="L38">
        <v>604</v>
      </c>
    </row>
    <row r="39" spans="2:12" x14ac:dyDescent="0.3">
      <c r="B39" t="s">
        <v>97</v>
      </c>
      <c r="C39">
        <v>0</v>
      </c>
      <c r="D39">
        <v>102</v>
      </c>
      <c r="E39">
        <v>116</v>
      </c>
      <c r="F39">
        <v>119</v>
      </c>
      <c r="G39">
        <v>116</v>
      </c>
      <c r="H39">
        <v>124</v>
      </c>
      <c r="I39">
        <v>140</v>
      </c>
      <c r="J39">
        <v>174</v>
      </c>
      <c r="K39">
        <v>180</v>
      </c>
      <c r="L39">
        <v>200</v>
      </c>
    </row>
    <row r="40" spans="2:12" x14ac:dyDescent="0.3">
      <c r="B40" t="s">
        <v>98</v>
      </c>
      <c r="C40">
        <v>43</v>
      </c>
      <c r="D40">
        <v>44</v>
      </c>
      <c r="E40">
        <v>47</v>
      </c>
      <c r="F40">
        <v>52</v>
      </c>
      <c r="G40">
        <v>49</v>
      </c>
      <c r="H40">
        <v>47</v>
      </c>
      <c r="I40">
        <v>61</v>
      </c>
      <c r="J40">
        <v>82</v>
      </c>
      <c r="K40">
        <v>84</v>
      </c>
      <c r="L40">
        <v>125</v>
      </c>
    </row>
    <row r="41" spans="2:12" x14ac:dyDescent="0.3">
      <c r="B41" t="s">
        <v>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2:12" x14ac:dyDescent="0.3">
      <c r="B42" t="s">
        <v>100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0.2</v>
      </c>
      <c r="K42">
        <v>0.3</v>
      </c>
      <c r="L42">
        <v>0.2</v>
      </c>
    </row>
    <row r="43" spans="2:12" x14ac:dyDescent="0.3">
      <c r="B43" t="s">
        <v>101</v>
      </c>
      <c r="C43">
        <v>157</v>
      </c>
      <c r="D43">
        <v>22</v>
      </c>
      <c r="E43">
        <v>44</v>
      </c>
      <c r="F43">
        <v>67</v>
      </c>
      <c r="G43">
        <v>59</v>
      </c>
      <c r="H43">
        <v>159</v>
      </c>
      <c r="I43">
        <v>107</v>
      </c>
      <c r="J43">
        <v>121</v>
      </c>
      <c r="K43">
        <v>117</v>
      </c>
      <c r="L43">
        <v>99</v>
      </c>
    </row>
    <row r="44" spans="2:12" x14ac:dyDescent="0.3">
      <c r="B44" t="s">
        <v>102</v>
      </c>
      <c r="C44">
        <v>0.1</v>
      </c>
      <c r="D44">
        <v>0.1</v>
      </c>
      <c r="E44">
        <v>3.7</v>
      </c>
      <c r="F44">
        <v>1.7</v>
      </c>
      <c r="G44">
        <v>1.2</v>
      </c>
      <c r="H44">
        <v>0.6</v>
      </c>
      <c r="I44">
        <v>0.6</v>
      </c>
      <c r="J44">
        <v>4.9000000000000004</v>
      </c>
      <c r="K44">
        <v>4.5999999999999996</v>
      </c>
      <c r="L44">
        <v>6</v>
      </c>
    </row>
    <row r="45" spans="2:12" x14ac:dyDescent="0.3">
      <c r="B45" t="s">
        <v>103</v>
      </c>
      <c r="C45">
        <v>0</v>
      </c>
      <c r="D45">
        <v>0</v>
      </c>
      <c r="E45">
        <v>2</v>
      </c>
      <c r="F45">
        <v>16</v>
      </c>
      <c r="G45">
        <v>1.1000000000000001</v>
      </c>
      <c r="H45">
        <v>5.9</v>
      </c>
      <c r="I45">
        <v>1.1000000000000001</v>
      </c>
      <c r="J45">
        <v>9.6999999999999993</v>
      </c>
      <c r="K45">
        <v>9.1999999999999993</v>
      </c>
      <c r="L45">
        <v>8</v>
      </c>
    </row>
    <row r="46" spans="2:12" x14ac:dyDescent="0.3">
      <c r="B46" t="s">
        <v>104</v>
      </c>
      <c r="C46">
        <v>0</v>
      </c>
      <c r="D46">
        <v>0.1</v>
      </c>
      <c r="E46">
        <v>1.7</v>
      </c>
      <c r="F46">
        <v>0</v>
      </c>
      <c r="G46">
        <v>1.3</v>
      </c>
      <c r="H46">
        <v>0</v>
      </c>
      <c r="I46">
        <v>3</v>
      </c>
      <c r="J46">
        <v>3.7</v>
      </c>
      <c r="K46">
        <v>0</v>
      </c>
      <c r="L46">
        <v>0</v>
      </c>
    </row>
    <row r="47" spans="2:12" x14ac:dyDescent="0.3">
      <c r="B47" t="s">
        <v>105</v>
      </c>
      <c r="C47">
        <v>0</v>
      </c>
      <c r="D47">
        <v>0</v>
      </c>
      <c r="E47">
        <v>0</v>
      </c>
      <c r="F47">
        <v>0</v>
      </c>
      <c r="G47">
        <v>0.5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2:12" x14ac:dyDescent="0.3">
      <c r="B48" t="s">
        <v>106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2:12" x14ac:dyDescent="0.3">
      <c r="B49" t="s">
        <v>107</v>
      </c>
      <c r="C49">
        <v>157</v>
      </c>
      <c r="D49">
        <v>22</v>
      </c>
      <c r="E49">
        <v>37</v>
      </c>
      <c r="F49">
        <v>49</v>
      </c>
      <c r="G49">
        <v>55</v>
      </c>
      <c r="H49">
        <v>151</v>
      </c>
      <c r="I49">
        <v>102</v>
      </c>
      <c r="J49">
        <v>103</v>
      </c>
      <c r="K49">
        <v>103</v>
      </c>
      <c r="L49">
        <v>85</v>
      </c>
    </row>
    <row r="50" spans="2:12" x14ac:dyDescent="0.3">
      <c r="B50" t="s">
        <v>12</v>
      </c>
      <c r="C50">
        <v>4.9000000000000004</v>
      </c>
      <c r="D50">
        <v>43</v>
      </c>
      <c r="E50">
        <v>73</v>
      </c>
      <c r="F50">
        <v>105</v>
      </c>
      <c r="G50">
        <v>85</v>
      </c>
      <c r="H50">
        <v>109</v>
      </c>
      <c r="I50">
        <v>140</v>
      </c>
      <c r="J50">
        <v>160</v>
      </c>
      <c r="K50">
        <v>151</v>
      </c>
      <c r="L50">
        <v>174</v>
      </c>
    </row>
    <row r="51" spans="2:12" x14ac:dyDescent="0.3">
      <c r="B51" t="s">
        <v>108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2:12" x14ac:dyDescent="0.3">
      <c r="B52" t="s">
        <v>109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2:12" x14ac:dyDescent="0.3">
      <c r="B53" t="s">
        <v>110</v>
      </c>
      <c r="C53">
        <v>1.3</v>
      </c>
      <c r="D53">
        <v>5.4</v>
      </c>
      <c r="E53">
        <v>9.8000000000000007</v>
      </c>
      <c r="F53">
        <v>18</v>
      </c>
      <c r="G53">
        <v>16</v>
      </c>
      <c r="H53">
        <v>25</v>
      </c>
      <c r="I53">
        <v>27</v>
      </c>
      <c r="J53">
        <v>37</v>
      </c>
      <c r="K53">
        <v>39</v>
      </c>
      <c r="L53">
        <v>44</v>
      </c>
    </row>
    <row r="54" spans="2:12" x14ac:dyDescent="0.3">
      <c r="B54" t="s">
        <v>111</v>
      </c>
      <c r="C54">
        <v>0</v>
      </c>
      <c r="D54">
        <v>28</v>
      </c>
      <c r="E54">
        <v>36</v>
      </c>
      <c r="F54">
        <v>38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2:12" x14ac:dyDescent="0.3">
      <c r="B55" t="s">
        <v>112</v>
      </c>
      <c r="C55">
        <v>3.6</v>
      </c>
      <c r="D55">
        <v>8.8000000000000007</v>
      </c>
      <c r="E55">
        <v>27</v>
      </c>
      <c r="F55">
        <v>50</v>
      </c>
      <c r="G55">
        <v>69</v>
      </c>
      <c r="H55">
        <v>84</v>
      </c>
      <c r="I55">
        <v>113</v>
      </c>
      <c r="J55">
        <v>124</v>
      </c>
      <c r="K55">
        <v>112</v>
      </c>
      <c r="L55">
        <v>130</v>
      </c>
    </row>
    <row r="56" spans="2:12" x14ac:dyDescent="0.3">
      <c r="B56" s="26" t="s">
        <v>21</v>
      </c>
      <c r="C56" s="26">
        <v>585</v>
      </c>
      <c r="D56" s="26">
        <v>759</v>
      </c>
      <c r="E56" s="26">
        <v>851</v>
      </c>
      <c r="F56" s="26">
        <v>994</v>
      </c>
      <c r="G56" s="26">
        <v>925</v>
      </c>
      <c r="H56" s="26">
        <v>1445</v>
      </c>
      <c r="I56" s="26">
        <v>1649</v>
      </c>
      <c r="J56" s="26">
        <v>1991</v>
      </c>
      <c r="K56" s="26">
        <v>1902</v>
      </c>
      <c r="L56" s="26">
        <v>2537</v>
      </c>
    </row>
    <row r="57" spans="2:12" x14ac:dyDescent="0.3">
      <c r="B57" t="s">
        <v>22</v>
      </c>
      <c r="C57">
        <v>18</v>
      </c>
      <c r="D57">
        <v>19</v>
      </c>
      <c r="E57">
        <v>19</v>
      </c>
      <c r="F57">
        <v>20</v>
      </c>
      <c r="G57">
        <v>19</v>
      </c>
      <c r="H57">
        <v>25</v>
      </c>
      <c r="I57">
        <v>27</v>
      </c>
      <c r="J57">
        <v>26</v>
      </c>
      <c r="K57">
        <v>22</v>
      </c>
      <c r="L57">
        <v>25</v>
      </c>
    </row>
    <row r="58" spans="2:12" x14ac:dyDescent="0.3">
      <c r="B58" t="s">
        <v>23</v>
      </c>
      <c r="C58">
        <v>39</v>
      </c>
      <c r="D58">
        <v>43</v>
      </c>
      <c r="E58">
        <v>31</v>
      </c>
      <c r="F58">
        <v>46</v>
      </c>
      <c r="G58">
        <v>69</v>
      </c>
      <c r="H58">
        <v>99</v>
      </c>
      <c r="I58">
        <v>119</v>
      </c>
      <c r="J58">
        <v>167</v>
      </c>
      <c r="K58">
        <v>326</v>
      </c>
      <c r="L58">
        <v>398</v>
      </c>
    </row>
    <row r="59" spans="2:12" x14ac:dyDescent="0.3">
      <c r="B59" t="s">
        <v>24</v>
      </c>
      <c r="C59">
        <v>2.2000000000000002</v>
      </c>
      <c r="D59">
        <v>2.7</v>
      </c>
      <c r="E59">
        <v>3.6</v>
      </c>
      <c r="F59">
        <v>25</v>
      </c>
      <c r="G59">
        <v>44</v>
      </c>
      <c r="H59">
        <v>23</v>
      </c>
      <c r="I59">
        <v>21</v>
      </c>
      <c r="J59">
        <v>60</v>
      </c>
      <c r="K59">
        <v>46</v>
      </c>
      <c r="L59">
        <v>35</v>
      </c>
    </row>
    <row r="60" spans="2:12" x14ac:dyDescent="0.3">
      <c r="B60" t="s">
        <v>113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2:12" x14ac:dyDescent="0.3">
      <c r="B61" t="s">
        <v>114</v>
      </c>
      <c r="C61">
        <v>0</v>
      </c>
      <c r="D61">
        <v>0</v>
      </c>
      <c r="E61">
        <v>0</v>
      </c>
      <c r="F61">
        <v>21</v>
      </c>
      <c r="G61">
        <v>39</v>
      </c>
      <c r="H61">
        <v>14</v>
      </c>
      <c r="I61">
        <v>16</v>
      </c>
      <c r="J61">
        <v>16</v>
      </c>
      <c r="K61">
        <v>36</v>
      </c>
      <c r="L61">
        <v>20</v>
      </c>
    </row>
    <row r="62" spans="2:12" x14ac:dyDescent="0.3">
      <c r="B62" t="s">
        <v>115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2:12" x14ac:dyDescent="0.3">
      <c r="B63" t="s">
        <v>116</v>
      </c>
      <c r="C63">
        <v>2.2000000000000002</v>
      </c>
      <c r="D63">
        <v>0.6</v>
      </c>
      <c r="E63">
        <v>1</v>
      </c>
      <c r="F63">
        <v>2.8</v>
      </c>
      <c r="G63">
        <v>3.9</v>
      </c>
      <c r="H63">
        <v>1.7</v>
      </c>
      <c r="I63">
        <v>1.9</v>
      </c>
      <c r="J63">
        <v>4</v>
      </c>
      <c r="K63">
        <v>1.3</v>
      </c>
      <c r="L63">
        <v>1.5</v>
      </c>
    </row>
    <row r="64" spans="2:12" x14ac:dyDescent="0.3">
      <c r="B64" t="s">
        <v>117</v>
      </c>
      <c r="C64">
        <v>0</v>
      </c>
      <c r="D64">
        <v>2.1</v>
      </c>
      <c r="E64">
        <v>2.7</v>
      </c>
      <c r="F64">
        <v>1.9</v>
      </c>
      <c r="G64">
        <v>1.2</v>
      </c>
      <c r="H64">
        <v>7.8</v>
      </c>
      <c r="I64">
        <v>3.8</v>
      </c>
      <c r="J64">
        <v>40</v>
      </c>
      <c r="K64">
        <v>8.4</v>
      </c>
      <c r="L64">
        <v>14</v>
      </c>
    </row>
    <row r="65" spans="2:12" x14ac:dyDescent="0.3">
      <c r="B65" t="s">
        <v>25</v>
      </c>
      <c r="C65">
        <v>76</v>
      </c>
      <c r="D65">
        <v>71</v>
      </c>
      <c r="E65">
        <v>89</v>
      </c>
      <c r="F65">
        <v>72</v>
      </c>
      <c r="G65">
        <v>53</v>
      </c>
      <c r="H65">
        <v>104</v>
      </c>
      <c r="I65">
        <v>171</v>
      </c>
      <c r="J65">
        <v>196</v>
      </c>
      <c r="K65">
        <v>129</v>
      </c>
      <c r="L65">
        <v>281</v>
      </c>
    </row>
    <row r="66" spans="2:12" x14ac:dyDescent="0.3">
      <c r="B66" t="s">
        <v>118</v>
      </c>
      <c r="C66">
        <v>2.5</v>
      </c>
      <c r="D66">
        <v>5.2</v>
      </c>
      <c r="E66">
        <v>6.9</v>
      </c>
      <c r="F66">
        <v>7.2</v>
      </c>
      <c r="G66">
        <v>5.6</v>
      </c>
      <c r="H66">
        <v>13</v>
      </c>
      <c r="I66">
        <v>38</v>
      </c>
      <c r="J66">
        <v>13</v>
      </c>
      <c r="K66">
        <v>13</v>
      </c>
      <c r="L66">
        <v>40</v>
      </c>
    </row>
    <row r="67" spans="2:12" x14ac:dyDescent="0.3">
      <c r="B67" t="s">
        <v>119</v>
      </c>
      <c r="C67">
        <v>14</v>
      </c>
      <c r="D67">
        <v>6.6</v>
      </c>
      <c r="E67">
        <v>3.5</v>
      </c>
      <c r="F67">
        <v>1</v>
      </c>
      <c r="G67">
        <v>0.3</v>
      </c>
      <c r="H67">
        <v>4.3</v>
      </c>
      <c r="I67">
        <v>0.4</v>
      </c>
      <c r="J67">
        <v>0</v>
      </c>
      <c r="K67">
        <v>0</v>
      </c>
      <c r="L67">
        <v>0</v>
      </c>
    </row>
    <row r="68" spans="2:12" x14ac:dyDescent="0.3">
      <c r="B68" t="s">
        <v>120</v>
      </c>
      <c r="C68">
        <v>0</v>
      </c>
      <c r="D68">
        <v>1.5</v>
      </c>
      <c r="E68">
        <v>0</v>
      </c>
      <c r="F68">
        <v>0.3</v>
      </c>
      <c r="G68">
        <v>0.7</v>
      </c>
      <c r="H68">
        <v>1.9</v>
      </c>
      <c r="I68">
        <v>0</v>
      </c>
      <c r="J68">
        <v>0</v>
      </c>
      <c r="K68">
        <v>1.7</v>
      </c>
      <c r="L68">
        <v>0.5</v>
      </c>
    </row>
    <row r="69" spans="2:12" x14ac:dyDescent="0.3">
      <c r="B69" t="s">
        <v>121</v>
      </c>
      <c r="C69">
        <v>0</v>
      </c>
      <c r="D69">
        <v>54</v>
      </c>
      <c r="E69">
        <v>72</v>
      </c>
      <c r="F69">
        <v>54</v>
      </c>
      <c r="G69">
        <v>30</v>
      </c>
      <c r="H69">
        <v>35</v>
      </c>
      <c r="I69">
        <v>0</v>
      </c>
      <c r="J69">
        <v>0</v>
      </c>
      <c r="K69">
        <v>0</v>
      </c>
      <c r="L69">
        <v>0</v>
      </c>
    </row>
    <row r="70" spans="2:12" x14ac:dyDescent="0.3">
      <c r="B70" t="s">
        <v>122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7.7</v>
      </c>
      <c r="J70">
        <v>34</v>
      </c>
      <c r="K70">
        <v>4.2</v>
      </c>
      <c r="L70">
        <v>2.5</v>
      </c>
    </row>
    <row r="71" spans="2:12" x14ac:dyDescent="0.3">
      <c r="B71" t="s">
        <v>123</v>
      </c>
      <c r="C71">
        <v>0.3</v>
      </c>
      <c r="D71">
        <v>0.1</v>
      </c>
      <c r="E71">
        <v>1.6</v>
      </c>
      <c r="F71">
        <v>0.6</v>
      </c>
      <c r="G71">
        <v>0</v>
      </c>
      <c r="H71">
        <v>0</v>
      </c>
      <c r="I71">
        <v>0.5</v>
      </c>
      <c r="J71">
        <v>8.8000000000000007</v>
      </c>
      <c r="K71">
        <v>10</v>
      </c>
      <c r="L71">
        <v>8.6</v>
      </c>
    </row>
    <row r="72" spans="2:12" x14ac:dyDescent="0.3">
      <c r="B72" t="s">
        <v>124</v>
      </c>
      <c r="C72">
        <v>59</v>
      </c>
      <c r="D72">
        <v>3.9</v>
      </c>
      <c r="E72">
        <v>4.7</v>
      </c>
      <c r="F72">
        <v>8.9</v>
      </c>
      <c r="G72">
        <v>17</v>
      </c>
      <c r="H72">
        <v>50</v>
      </c>
      <c r="I72">
        <v>124</v>
      </c>
      <c r="J72">
        <v>140</v>
      </c>
      <c r="K72">
        <v>100</v>
      </c>
      <c r="L72">
        <v>229</v>
      </c>
    </row>
    <row r="73" spans="2:12" x14ac:dyDescent="0.3">
      <c r="B73" s="26" t="s">
        <v>26</v>
      </c>
      <c r="C73" s="26">
        <v>621</v>
      </c>
      <c r="D73" s="26">
        <v>784</v>
      </c>
      <c r="E73" s="26">
        <v>906</v>
      </c>
      <c r="F73" s="26">
        <v>995</v>
      </c>
      <c r="G73" s="26">
        <v>875</v>
      </c>
      <c r="H73" s="26">
        <v>1438</v>
      </c>
      <c r="I73" s="26">
        <v>1692</v>
      </c>
      <c r="J73" s="26">
        <v>1975</v>
      </c>
      <c r="K73" s="26">
        <v>1671</v>
      </c>
      <c r="L73" s="26">
        <v>2399</v>
      </c>
    </row>
    <row r="74" spans="2:12" x14ac:dyDescent="0.3">
      <c r="B74" t="s">
        <v>125</v>
      </c>
      <c r="C74">
        <v>621</v>
      </c>
      <c r="D74">
        <v>784</v>
      </c>
      <c r="E74">
        <v>906</v>
      </c>
      <c r="F74">
        <v>995</v>
      </c>
      <c r="G74">
        <v>865</v>
      </c>
      <c r="H74">
        <v>1426</v>
      </c>
      <c r="I74">
        <v>1680</v>
      </c>
      <c r="J74">
        <v>1960</v>
      </c>
      <c r="K74">
        <v>1659</v>
      </c>
      <c r="L74">
        <v>2384</v>
      </c>
    </row>
    <row r="75" spans="2:12" x14ac:dyDescent="0.3">
      <c r="B75" t="s">
        <v>126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2:12" x14ac:dyDescent="0.3">
      <c r="B76" t="s">
        <v>33</v>
      </c>
      <c r="C76">
        <v>177</v>
      </c>
      <c r="D76">
        <v>244</v>
      </c>
      <c r="E76">
        <v>290</v>
      </c>
      <c r="F76">
        <v>323</v>
      </c>
      <c r="G76">
        <v>264</v>
      </c>
      <c r="H76">
        <v>382</v>
      </c>
      <c r="I76">
        <v>399</v>
      </c>
      <c r="J76">
        <v>522</v>
      </c>
      <c r="K76">
        <v>362</v>
      </c>
      <c r="L76">
        <v>458</v>
      </c>
    </row>
    <row r="77" spans="2:12" x14ac:dyDescent="0.3">
      <c r="B77" t="s">
        <v>40</v>
      </c>
      <c r="C77">
        <v>28</v>
      </c>
      <c r="D77">
        <v>31</v>
      </c>
      <c r="E77">
        <v>32</v>
      </c>
      <c r="F77">
        <v>32</v>
      </c>
      <c r="G77">
        <v>30</v>
      </c>
      <c r="H77">
        <v>27</v>
      </c>
      <c r="I77">
        <v>24</v>
      </c>
      <c r="J77">
        <v>26</v>
      </c>
      <c r="K77">
        <v>22</v>
      </c>
      <c r="L77">
        <v>19</v>
      </c>
    </row>
    <row r="78" spans="2:12" x14ac:dyDescent="0.3">
      <c r="B78" s="26" t="s">
        <v>41</v>
      </c>
      <c r="C78" s="26">
        <v>445</v>
      </c>
      <c r="D78" s="26">
        <v>542</v>
      </c>
      <c r="E78" s="26">
        <v>616</v>
      </c>
      <c r="F78" s="26">
        <v>668</v>
      </c>
      <c r="G78" s="26">
        <v>610</v>
      </c>
      <c r="H78" s="26">
        <v>1056</v>
      </c>
      <c r="I78" s="26">
        <v>1293</v>
      </c>
      <c r="J78" s="26">
        <v>1453</v>
      </c>
      <c r="K78" s="26">
        <v>1310</v>
      </c>
      <c r="L78" s="26">
        <v>1942</v>
      </c>
    </row>
    <row r="79" spans="2:12" x14ac:dyDescent="0.3">
      <c r="B79" t="s">
        <v>42</v>
      </c>
      <c r="C79">
        <v>444</v>
      </c>
      <c r="D79">
        <v>540</v>
      </c>
      <c r="E79">
        <v>616</v>
      </c>
      <c r="F79">
        <v>672</v>
      </c>
      <c r="G79">
        <v>610</v>
      </c>
      <c r="H79">
        <v>1056</v>
      </c>
      <c r="I79">
        <v>1293</v>
      </c>
      <c r="J79">
        <v>1453</v>
      </c>
      <c r="K79">
        <v>1310</v>
      </c>
      <c r="L79">
        <v>1942</v>
      </c>
    </row>
    <row r="80" spans="2:12" x14ac:dyDescent="0.3">
      <c r="B80" t="s">
        <v>127</v>
      </c>
      <c r="C80">
        <v>1.1000000000000001</v>
      </c>
      <c r="D80">
        <v>1.8</v>
      </c>
      <c r="E80">
        <v>-0.1</v>
      </c>
      <c r="F80">
        <v>-3.3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2:12" x14ac:dyDescent="0.3">
      <c r="B81" t="s">
        <v>128</v>
      </c>
      <c r="C81">
        <v>-5.9</v>
      </c>
      <c r="D81">
        <v>0</v>
      </c>
      <c r="E81">
        <v>0</v>
      </c>
      <c r="F81">
        <v>-28</v>
      </c>
      <c r="G81">
        <v>-32</v>
      </c>
      <c r="H81">
        <v>-26</v>
      </c>
      <c r="I81">
        <v>-28</v>
      </c>
      <c r="J81">
        <v>-19</v>
      </c>
      <c r="K81">
        <v>-28</v>
      </c>
      <c r="L81">
        <v>-29</v>
      </c>
    </row>
    <row r="82" spans="2:12" x14ac:dyDescent="0.3">
      <c r="B82" t="s">
        <v>129</v>
      </c>
      <c r="C82">
        <v>0</v>
      </c>
      <c r="D82">
        <v>0</v>
      </c>
      <c r="E82">
        <v>13</v>
      </c>
      <c r="F82">
        <v>16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2:12" x14ac:dyDescent="0.3">
      <c r="B83" t="s">
        <v>130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2:12" x14ac:dyDescent="0.3">
      <c r="B84" t="s">
        <v>131</v>
      </c>
      <c r="C84">
        <v>439</v>
      </c>
      <c r="D84">
        <v>542</v>
      </c>
      <c r="E84">
        <v>629</v>
      </c>
      <c r="F84">
        <v>656</v>
      </c>
      <c r="G84">
        <v>579</v>
      </c>
      <c r="H84">
        <v>1030</v>
      </c>
      <c r="I84">
        <v>1265</v>
      </c>
      <c r="J84">
        <v>1433</v>
      </c>
      <c r="K84">
        <v>1282</v>
      </c>
      <c r="L84">
        <v>1913</v>
      </c>
    </row>
    <row r="85" spans="2:12" x14ac:dyDescent="0.3">
      <c r="B85" t="s">
        <v>47</v>
      </c>
      <c r="C85">
        <v>13</v>
      </c>
      <c r="D85">
        <v>14</v>
      </c>
      <c r="E85">
        <v>14</v>
      </c>
      <c r="F85">
        <v>14</v>
      </c>
      <c r="G85">
        <v>12</v>
      </c>
      <c r="H85">
        <v>18</v>
      </c>
      <c r="I85">
        <v>21</v>
      </c>
      <c r="J85">
        <v>19</v>
      </c>
      <c r="K85">
        <v>15</v>
      </c>
      <c r="L85">
        <v>19</v>
      </c>
    </row>
    <row r="86" spans="2:12" x14ac:dyDescent="0.3">
      <c r="B86" t="s">
        <v>62</v>
      </c>
      <c r="C86">
        <v>11</v>
      </c>
      <c r="D86">
        <v>14</v>
      </c>
      <c r="E86">
        <v>16</v>
      </c>
      <c r="F86">
        <v>16</v>
      </c>
      <c r="G86">
        <v>14</v>
      </c>
      <c r="H86">
        <v>26</v>
      </c>
      <c r="I86">
        <v>32</v>
      </c>
      <c r="J86">
        <v>36</v>
      </c>
      <c r="K86">
        <v>32</v>
      </c>
      <c r="L86">
        <v>48</v>
      </c>
    </row>
    <row r="87" spans="2:12" x14ac:dyDescent="0.3">
      <c r="B87" t="s">
        <v>63</v>
      </c>
      <c r="C87">
        <v>219</v>
      </c>
      <c r="D87">
        <v>271</v>
      </c>
      <c r="E87">
        <v>314</v>
      </c>
      <c r="F87">
        <v>16</v>
      </c>
      <c r="G87">
        <v>14</v>
      </c>
      <c r="H87">
        <v>26</v>
      </c>
      <c r="I87">
        <v>32</v>
      </c>
      <c r="J87">
        <v>36</v>
      </c>
      <c r="K87">
        <v>32</v>
      </c>
      <c r="L87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27"/>
  <sheetViews>
    <sheetView showGridLines="0" tabSelected="1" workbookViewId="0">
      <pane ySplit="3" topLeftCell="A72" activePane="bottomLeft" state="frozen"/>
      <selection pane="bottomLeft" activeCell="M79" sqref="M79"/>
    </sheetView>
  </sheetViews>
  <sheetFormatPr defaultRowHeight="14.4" x14ac:dyDescent="0.3"/>
  <cols>
    <col min="2" max="2" width="56.77734375" bestFit="1" customWidth="1"/>
    <col min="3" max="12" width="9.44140625" bestFit="1" customWidth="1"/>
  </cols>
  <sheetData>
    <row r="3" spans="2:12" ht="17.399999999999999" x14ac:dyDescent="0.3">
      <c r="B3" s="32" t="s">
        <v>132</v>
      </c>
      <c r="C3" s="33">
        <v>42064</v>
      </c>
      <c r="D3" s="33">
        <v>42430</v>
      </c>
      <c r="E3" s="33">
        <v>42795</v>
      </c>
      <c r="F3" s="33">
        <v>43160</v>
      </c>
      <c r="G3" s="33">
        <v>43525</v>
      </c>
      <c r="H3" s="33">
        <v>43891</v>
      </c>
      <c r="I3" s="33">
        <v>44256</v>
      </c>
      <c r="J3" s="33">
        <v>44621</v>
      </c>
      <c r="K3" s="33">
        <v>44986</v>
      </c>
      <c r="L3" s="33">
        <v>45352</v>
      </c>
    </row>
    <row r="4" spans="2:12" x14ac:dyDescent="0.3">
      <c r="B4" s="26" t="s">
        <v>133</v>
      </c>
      <c r="C4" s="26">
        <v>2532</v>
      </c>
      <c r="D4" s="26">
        <v>2848</v>
      </c>
      <c r="E4" s="26">
        <v>3741</v>
      </c>
      <c r="F4" s="26">
        <v>4360</v>
      </c>
      <c r="G4" s="26">
        <v>4084</v>
      </c>
      <c r="H4" s="26">
        <v>5025</v>
      </c>
      <c r="I4" s="26">
        <v>6324</v>
      </c>
      <c r="J4" s="26">
        <v>9108</v>
      </c>
      <c r="K4" s="26">
        <v>9686</v>
      </c>
      <c r="L4" s="26">
        <v>11883</v>
      </c>
    </row>
    <row r="5" spans="2:12" x14ac:dyDescent="0.3">
      <c r="B5" t="s">
        <v>134</v>
      </c>
      <c r="C5">
        <v>277</v>
      </c>
      <c r="D5">
        <v>447</v>
      </c>
      <c r="E5">
        <v>793</v>
      </c>
      <c r="F5">
        <v>1014</v>
      </c>
      <c r="G5">
        <v>1399</v>
      </c>
      <c r="H5">
        <v>1594</v>
      </c>
      <c r="I5">
        <v>1659</v>
      </c>
      <c r="J5">
        <v>3583</v>
      </c>
      <c r="K5">
        <v>4245</v>
      </c>
      <c r="L5">
        <v>4540</v>
      </c>
    </row>
    <row r="6" spans="2:12" x14ac:dyDescent="0.3">
      <c r="B6" t="s">
        <v>135</v>
      </c>
      <c r="C6">
        <v>277</v>
      </c>
      <c r="D6">
        <v>447</v>
      </c>
      <c r="E6">
        <v>793</v>
      </c>
      <c r="F6">
        <v>1014</v>
      </c>
      <c r="G6">
        <v>1399</v>
      </c>
      <c r="H6">
        <v>1594</v>
      </c>
      <c r="I6">
        <v>1659</v>
      </c>
      <c r="J6">
        <v>3583</v>
      </c>
      <c r="K6">
        <v>4245</v>
      </c>
      <c r="L6">
        <v>4540</v>
      </c>
    </row>
    <row r="7" spans="2:12" s="34" customFormat="1" x14ac:dyDescent="0.3">
      <c r="B7" s="34" t="s">
        <v>136</v>
      </c>
      <c r="C7" s="34">
        <v>403</v>
      </c>
      <c r="D7" s="34">
        <v>489</v>
      </c>
      <c r="E7" s="34">
        <v>915</v>
      </c>
      <c r="F7" s="34">
        <v>1230</v>
      </c>
      <c r="G7" s="34">
        <v>1681</v>
      </c>
      <c r="H7" s="34">
        <v>1988</v>
      </c>
      <c r="I7" s="34">
        <v>2160</v>
      </c>
      <c r="J7" s="34">
        <v>4247</v>
      </c>
      <c r="K7" s="34">
        <v>5233</v>
      </c>
      <c r="L7" s="34">
        <v>5910</v>
      </c>
    </row>
    <row r="8" spans="2:12" x14ac:dyDescent="0.3">
      <c r="B8" t="s">
        <v>137</v>
      </c>
      <c r="C8">
        <v>126</v>
      </c>
      <c r="D8">
        <v>42</v>
      </c>
      <c r="E8">
        <v>122</v>
      </c>
      <c r="F8">
        <v>216</v>
      </c>
      <c r="G8">
        <v>282</v>
      </c>
      <c r="H8">
        <v>373</v>
      </c>
      <c r="I8">
        <v>501</v>
      </c>
      <c r="J8">
        <v>664</v>
      </c>
      <c r="K8">
        <v>988</v>
      </c>
      <c r="L8">
        <v>1370</v>
      </c>
    </row>
    <row r="9" spans="2:12" x14ac:dyDescent="0.3">
      <c r="B9" t="s">
        <v>138</v>
      </c>
      <c r="C9">
        <v>0</v>
      </c>
      <c r="D9">
        <v>0</v>
      </c>
      <c r="E9">
        <v>0</v>
      </c>
      <c r="F9">
        <v>0</v>
      </c>
      <c r="G9">
        <v>0</v>
      </c>
      <c r="H9">
        <v>21</v>
      </c>
      <c r="I9">
        <v>0</v>
      </c>
      <c r="J9">
        <v>0</v>
      </c>
      <c r="K9">
        <v>0</v>
      </c>
      <c r="L9">
        <v>0</v>
      </c>
    </row>
    <row r="10" spans="2:12" x14ac:dyDescent="0.3">
      <c r="B10" t="s">
        <v>139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2" x14ac:dyDescent="0.3">
      <c r="B11" t="s">
        <v>140</v>
      </c>
      <c r="C11">
        <v>44</v>
      </c>
      <c r="D11">
        <v>139</v>
      </c>
      <c r="E11">
        <v>302</v>
      </c>
      <c r="F11">
        <v>482</v>
      </c>
      <c r="G11">
        <v>327</v>
      </c>
      <c r="H11">
        <v>313</v>
      </c>
      <c r="I11">
        <v>372</v>
      </c>
      <c r="J11">
        <v>670</v>
      </c>
      <c r="K11">
        <v>493</v>
      </c>
      <c r="L11">
        <v>207</v>
      </c>
    </row>
    <row r="12" spans="2:12" x14ac:dyDescent="0.3">
      <c r="B12" t="s">
        <v>141</v>
      </c>
      <c r="C12">
        <v>354</v>
      </c>
      <c r="D12">
        <v>396</v>
      </c>
      <c r="E12">
        <v>370</v>
      </c>
      <c r="F12">
        <v>225</v>
      </c>
      <c r="G12">
        <v>348</v>
      </c>
      <c r="H12">
        <v>287</v>
      </c>
      <c r="I12">
        <v>381</v>
      </c>
      <c r="J12">
        <v>412</v>
      </c>
      <c r="K12">
        <v>557</v>
      </c>
      <c r="L12">
        <v>488</v>
      </c>
    </row>
    <row r="13" spans="2:12" x14ac:dyDescent="0.3">
      <c r="B13" t="s">
        <v>142</v>
      </c>
      <c r="C13">
        <v>42</v>
      </c>
      <c r="D13">
        <v>54</v>
      </c>
      <c r="E13">
        <v>101</v>
      </c>
      <c r="F13">
        <v>139</v>
      </c>
      <c r="G13">
        <v>216</v>
      </c>
      <c r="H13">
        <v>164</v>
      </c>
      <c r="I13">
        <v>206</v>
      </c>
      <c r="J13">
        <v>235</v>
      </c>
      <c r="K13">
        <v>271</v>
      </c>
      <c r="L13">
        <v>310</v>
      </c>
    </row>
    <row r="14" spans="2:12" x14ac:dyDescent="0.3">
      <c r="B14" t="s">
        <v>143</v>
      </c>
      <c r="C14">
        <v>734</v>
      </c>
      <c r="D14">
        <v>0</v>
      </c>
      <c r="E14">
        <v>848</v>
      </c>
      <c r="F14">
        <v>650</v>
      </c>
      <c r="G14">
        <v>543</v>
      </c>
      <c r="H14">
        <v>665</v>
      </c>
      <c r="I14">
        <v>1306</v>
      </c>
      <c r="J14">
        <v>874</v>
      </c>
      <c r="K14">
        <v>1075</v>
      </c>
      <c r="L14">
        <v>2258</v>
      </c>
    </row>
    <row r="15" spans="2:12" x14ac:dyDescent="0.3">
      <c r="B15" t="s">
        <v>144</v>
      </c>
      <c r="C15">
        <v>2.4</v>
      </c>
      <c r="D15">
        <v>655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2:12" x14ac:dyDescent="0.3">
      <c r="B16" t="s">
        <v>145</v>
      </c>
      <c r="C16">
        <v>270</v>
      </c>
      <c r="D16">
        <v>336</v>
      </c>
      <c r="E16">
        <v>260</v>
      </c>
      <c r="F16">
        <v>77</v>
      </c>
      <c r="G16">
        <v>118</v>
      </c>
      <c r="H16">
        <v>106</v>
      </c>
      <c r="I16">
        <v>158</v>
      </c>
      <c r="J16">
        <v>164</v>
      </c>
      <c r="K16">
        <v>188</v>
      </c>
      <c r="L16">
        <v>164</v>
      </c>
    </row>
    <row r="17" spans="2:12" x14ac:dyDescent="0.3">
      <c r="B17" t="s">
        <v>146</v>
      </c>
      <c r="C17">
        <v>42</v>
      </c>
      <c r="D17">
        <v>6.5</v>
      </c>
      <c r="E17">
        <v>9.1</v>
      </c>
      <c r="F17">
        <v>8.5</v>
      </c>
      <c r="G17">
        <v>14</v>
      </c>
      <c r="H17">
        <v>16</v>
      </c>
      <c r="I17">
        <v>17</v>
      </c>
      <c r="J17">
        <v>13</v>
      </c>
      <c r="K17">
        <v>99</v>
      </c>
      <c r="L17">
        <v>14</v>
      </c>
    </row>
    <row r="18" spans="2:12" x14ac:dyDescent="0.3">
      <c r="B18" t="s">
        <v>147</v>
      </c>
      <c r="C18">
        <v>1673</v>
      </c>
      <c r="D18">
        <v>1707</v>
      </c>
      <c r="E18">
        <v>2069</v>
      </c>
      <c r="F18">
        <v>2574</v>
      </c>
      <c r="G18">
        <v>1943</v>
      </c>
      <c r="H18">
        <v>2820</v>
      </c>
      <c r="I18">
        <v>3880</v>
      </c>
      <c r="J18">
        <v>4404</v>
      </c>
      <c r="K18">
        <v>4325</v>
      </c>
      <c r="L18">
        <v>6566</v>
      </c>
    </row>
    <row r="19" spans="2:12" x14ac:dyDescent="0.3">
      <c r="B19" t="s">
        <v>148</v>
      </c>
      <c r="C19">
        <v>596</v>
      </c>
      <c r="D19">
        <v>619</v>
      </c>
      <c r="E19">
        <v>789</v>
      </c>
      <c r="F19">
        <v>789</v>
      </c>
      <c r="G19">
        <v>821</v>
      </c>
      <c r="H19">
        <v>899</v>
      </c>
      <c r="I19">
        <v>1184</v>
      </c>
      <c r="J19">
        <v>1760</v>
      </c>
      <c r="K19">
        <v>1498</v>
      </c>
      <c r="L19">
        <v>1553</v>
      </c>
    </row>
    <row r="20" spans="2:12" x14ac:dyDescent="0.3">
      <c r="B20" t="s">
        <v>149</v>
      </c>
      <c r="C20">
        <v>1077</v>
      </c>
      <c r="D20">
        <v>1087</v>
      </c>
      <c r="E20">
        <v>1280</v>
      </c>
      <c r="F20">
        <v>1784</v>
      </c>
      <c r="G20">
        <v>1122</v>
      </c>
      <c r="H20">
        <v>1920</v>
      </c>
      <c r="I20">
        <v>2696</v>
      </c>
      <c r="J20">
        <v>2644</v>
      </c>
      <c r="K20">
        <v>2826</v>
      </c>
      <c r="L20">
        <v>5012</v>
      </c>
    </row>
    <row r="21" spans="2:12" x14ac:dyDescent="0.3">
      <c r="B21" t="s">
        <v>150</v>
      </c>
      <c r="C21">
        <v>737</v>
      </c>
      <c r="D21">
        <v>655</v>
      </c>
      <c r="E21">
        <v>848</v>
      </c>
      <c r="F21">
        <v>650</v>
      </c>
      <c r="G21">
        <v>543</v>
      </c>
      <c r="H21">
        <v>665</v>
      </c>
      <c r="I21">
        <v>1306</v>
      </c>
      <c r="J21">
        <v>874</v>
      </c>
      <c r="K21">
        <v>1075</v>
      </c>
      <c r="L21">
        <v>2258</v>
      </c>
    </row>
    <row r="22" spans="2:12" x14ac:dyDescent="0.3">
      <c r="B22" t="s">
        <v>143</v>
      </c>
      <c r="C22">
        <v>734</v>
      </c>
      <c r="D22">
        <v>0</v>
      </c>
      <c r="E22">
        <v>848</v>
      </c>
      <c r="F22">
        <v>650</v>
      </c>
      <c r="G22">
        <v>543</v>
      </c>
      <c r="H22">
        <v>665</v>
      </c>
      <c r="I22">
        <v>1306</v>
      </c>
      <c r="J22">
        <v>874</v>
      </c>
      <c r="K22">
        <v>1075</v>
      </c>
      <c r="L22">
        <v>2258</v>
      </c>
    </row>
    <row r="23" spans="2:12" x14ac:dyDescent="0.3">
      <c r="B23" t="s">
        <v>144</v>
      </c>
      <c r="C23">
        <v>2.4</v>
      </c>
      <c r="D23">
        <v>655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2:12" x14ac:dyDescent="0.3">
      <c r="B24" t="s">
        <v>151</v>
      </c>
      <c r="C24">
        <v>197</v>
      </c>
      <c r="D24">
        <v>193</v>
      </c>
      <c r="E24">
        <v>166</v>
      </c>
      <c r="F24">
        <v>297</v>
      </c>
      <c r="G24">
        <v>220</v>
      </c>
      <c r="H24">
        <v>531</v>
      </c>
      <c r="I24">
        <v>331</v>
      </c>
      <c r="J24">
        <v>388</v>
      </c>
      <c r="K24">
        <v>576</v>
      </c>
      <c r="L24">
        <v>848</v>
      </c>
    </row>
    <row r="25" spans="2:12" x14ac:dyDescent="0.3">
      <c r="B25" t="s">
        <v>152</v>
      </c>
      <c r="C25">
        <v>9.9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15</v>
      </c>
      <c r="K25">
        <v>21</v>
      </c>
      <c r="L25">
        <v>44</v>
      </c>
    </row>
    <row r="26" spans="2:12" x14ac:dyDescent="0.3">
      <c r="B26" t="s">
        <v>153</v>
      </c>
      <c r="C26">
        <v>187</v>
      </c>
      <c r="D26">
        <v>193</v>
      </c>
      <c r="E26">
        <v>166</v>
      </c>
      <c r="F26">
        <v>297</v>
      </c>
      <c r="G26">
        <v>220</v>
      </c>
      <c r="H26">
        <v>535</v>
      </c>
      <c r="I26">
        <v>325</v>
      </c>
      <c r="J26">
        <v>385</v>
      </c>
      <c r="K26">
        <v>575</v>
      </c>
      <c r="L26">
        <v>832</v>
      </c>
    </row>
    <row r="27" spans="2:12" x14ac:dyDescent="0.3">
      <c r="B27" t="s">
        <v>154</v>
      </c>
      <c r="C27">
        <v>0</v>
      </c>
      <c r="D27">
        <v>0</v>
      </c>
      <c r="E27">
        <v>2</v>
      </c>
      <c r="F27">
        <v>16</v>
      </c>
      <c r="G27">
        <v>1.1000000000000001</v>
      </c>
      <c r="H27">
        <v>5.9</v>
      </c>
      <c r="I27">
        <v>1.1000000000000001</v>
      </c>
      <c r="J27">
        <v>9.6999999999999993</v>
      </c>
      <c r="K27">
        <v>9.1999999999999993</v>
      </c>
      <c r="L27">
        <v>8</v>
      </c>
    </row>
    <row r="28" spans="2:12" x14ac:dyDescent="0.3">
      <c r="B28" t="s">
        <v>155</v>
      </c>
      <c r="C28">
        <v>39</v>
      </c>
      <c r="D28">
        <v>90</v>
      </c>
      <c r="E28">
        <v>146</v>
      </c>
      <c r="F28">
        <v>139</v>
      </c>
      <c r="G28">
        <v>141</v>
      </c>
      <c r="H28">
        <v>420</v>
      </c>
      <c r="I28">
        <v>701</v>
      </c>
      <c r="J28">
        <v>406</v>
      </c>
      <c r="K28">
        <v>453</v>
      </c>
      <c r="L28">
        <v>1198</v>
      </c>
    </row>
    <row r="29" spans="2:12" x14ac:dyDescent="0.3">
      <c r="B29" t="s">
        <v>156</v>
      </c>
      <c r="C29">
        <v>1.3</v>
      </c>
      <c r="D29">
        <v>5.4</v>
      </c>
      <c r="E29">
        <v>4.7</v>
      </c>
      <c r="F29">
        <v>0.2</v>
      </c>
      <c r="G29">
        <v>0.3</v>
      </c>
      <c r="H29">
        <v>0.3</v>
      </c>
      <c r="I29">
        <v>0.2</v>
      </c>
      <c r="J29">
        <v>0.2</v>
      </c>
      <c r="K29">
        <v>0.5</v>
      </c>
      <c r="L29">
        <v>0.7</v>
      </c>
    </row>
    <row r="30" spans="2:12" x14ac:dyDescent="0.3">
      <c r="B30" t="s">
        <v>157</v>
      </c>
      <c r="C30">
        <v>38</v>
      </c>
      <c r="D30">
        <v>84</v>
      </c>
      <c r="E30">
        <v>141</v>
      </c>
      <c r="F30">
        <v>139</v>
      </c>
      <c r="G30">
        <v>141</v>
      </c>
      <c r="H30">
        <v>400</v>
      </c>
      <c r="I30">
        <v>701</v>
      </c>
      <c r="J30">
        <v>403</v>
      </c>
      <c r="K30">
        <v>453</v>
      </c>
      <c r="L30">
        <v>1197</v>
      </c>
    </row>
    <row r="31" spans="2:12" x14ac:dyDescent="0.3">
      <c r="B31" t="s">
        <v>158</v>
      </c>
      <c r="C31">
        <v>0</v>
      </c>
      <c r="D31">
        <v>0</v>
      </c>
      <c r="E31">
        <v>0.1</v>
      </c>
      <c r="F31">
        <v>0</v>
      </c>
      <c r="G31">
        <v>0</v>
      </c>
      <c r="H31">
        <v>19</v>
      </c>
      <c r="I31">
        <v>0</v>
      </c>
      <c r="J31">
        <v>2.2999999999999998</v>
      </c>
      <c r="K31">
        <v>0</v>
      </c>
      <c r="L31">
        <v>0</v>
      </c>
    </row>
    <row r="32" spans="2:12" x14ac:dyDescent="0.3">
      <c r="B32" t="s">
        <v>159</v>
      </c>
      <c r="C32">
        <v>42</v>
      </c>
      <c r="D32">
        <v>64</v>
      </c>
      <c r="E32">
        <v>89</v>
      </c>
      <c r="F32">
        <v>230</v>
      </c>
      <c r="G32">
        <v>209</v>
      </c>
      <c r="H32">
        <v>294</v>
      </c>
      <c r="I32">
        <v>276</v>
      </c>
      <c r="J32">
        <v>804</v>
      </c>
      <c r="K32">
        <v>657</v>
      </c>
      <c r="L32">
        <v>604</v>
      </c>
    </row>
    <row r="33" spans="2:12" x14ac:dyDescent="0.3">
      <c r="B33" t="s">
        <v>160</v>
      </c>
      <c r="C33">
        <v>35</v>
      </c>
      <c r="D33">
        <v>30</v>
      </c>
      <c r="E33">
        <v>42</v>
      </c>
      <c r="F33">
        <v>75</v>
      </c>
      <c r="G33">
        <v>26</v>
      </c>
      <c r="H33">
        <v>42</v>
      </c>
      <c r="I33">
        <v>39</v>
      </c>
      <c r="J33">
        <v>73</v>
      </c>
      <c r="K33">
        <v>77</v>
      </c>
      <c r="L33">
        <v>42</v>
      </c>
    </row>
    <row r="34" spans="2:12" x14ac:dyDescent="0.3">
      <c r="B34" t="s">
        <v>161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2:12" x14ac:dyDescent="0.3">
      <c r="B35" t="s">
        <v>162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2:12" x14ac:dyDescent="0.3">
      <c r="B36" t="s">
        <v>163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2:12" x14ac:dyDescent="0.3">
      <c r="B37" t="s">
        <v>164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2:12" x14ac:dyDescent="0.3">
      <c r="B38" t="s">
        <v>165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2:12" x14ac:dyDescent="0.3">
      <c r="B39" t="s">
        <v>166</v>
      </c>
      <c r="C39">
        <v>7</v>
      </c>
      <c r="D39">
        <v>34</v>
      </c>
      <c r="E39">
        <v>47</v>
      </c>
      <c r="F39">
        <v>155</v>
      </c>
      <c r="G39">
        <v>183</v>
      </c>
      <c r="H39">
        <v>253</v>
      </c>
      <c r="I39">
        <v>237</v>
      </c>
      <c r="J39">
        <v>731</v>
      </c>
      <c r="K39">
        <v>580</v>
      </c>
      <c r="L39">
        <v>562</v>
      </c>
    </row>
    <row r="40" spans="2:12" x14ac:dyDescent="0.3">
      <c r="B40" t="s">
        <v>124</v>
      </c>
      <c r="C40">
        <v>62</v>
      </c>
      <c r="D40">
        <v>86</v>
      </c>
      <c r="E40">
        <v>31</v>
      </c>
      <c r="F40">
        <v>469</v>
      </c>
      <c r="G40">
        <v>8.5</v>
      </c>
      <c r="H40">
        <v>10</v>
      </c>
      <c r="I40">
        <v>83</v>
      </c>
      <c r="J40">
        <v>171</v>
      </c>
      <c r="K40">
        <v>64</v>
      </c>
      <c r="L40">
        <v>104</v>
      </c>
    </row>
    <row r="41" spans="2:12" x14ac:dyDescent="0.3">
      <c r="B41" t="s">
        <v>167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2:12" x14ac:dyDescent="0.3">
      <c r="B42" t="s">
        <v>168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2:12" x14ac:dyDescent="0.3">
      <c r="B43" t="s">
        <v>169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2:12" x14ac:dyDescent="0.3">
      <c r="B44" t="s">
        <v>170</v>
      </c>
      <c r="C44">
        <v>0.2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2:12" x14ac:dyDescent="0.3">
      <c r="B45" t="s">
        <v>171</v>
      </c>
      <c r="C45">
        <v>61</v>
      </c>
      <c r="D45">
        <v>71</v>
      </c>
      <c r="E45">
        <v>7.2</v>
      </c>
      <c r="F45">
        <v>11</v>
      </c>
      <c r="G45">
        <v>8.1</v>
      </c>
      <c r="H45">
        <v>9.5</v>
      </c>
      <c r="I45">
        <v>37</v>
      </c>
      <c r="J45">
        <v>136</v>
      </c>
      <c r="K45">
        <v>33</v>
      </c>
      <c r="L45">
        <v>60</v>
      </c>
    </row>
    <row r="46" spans="2:12" x14ac:dyDescent="0.3">
      <c r="B46" t="s">
        <v>172</v>
      </c>
      <c r="C46">
        <v>0.9</v>
      </c>
      <c r="D46">
        <v>14</v>
      </c>
      <c r="E46">
        <v>24</v>
      </c>
      <c r="F46">
        <v>458</v>
      </c>
      <c r="G46">
        <v>0.4</v>
      </c>
      <c r="H46">
        <v>0.7</v>
      </c>
      <c r="I46">
        <v>46</v>
      </c>
      <c r="J46">
        <v>35</v>
      </c>
      <c r="K46">
        <v>31</v>
      </c>
      <c r="L46">
        <v>44</v>
      </c>
    </row>
    <row r="47" spans="2:12" x14ac:dyDescent="0.3">
      <c r="B47" t="s">
        <v>173</v>
      </c>
      <c r="C47">
        <v>-12</v>
      </c>
      <c r="D47">
        <v>253</v>
      </c>
      <c r="E47">
        <v>427</v>
      </c>
      <c r="F47">
        <v>405</v>
      </c>
      <c r="G47">
        <v>238</v>
      </c>
      <c r="H47">
        <v>217</v>
      </c>
      <c r="I47">
        <v>312</v>
      </c>
      <c r="J47">
        <v>2342</v>
      </c>
      <c r="K47">
        <v>826</v>
      </c>
      <c r="L47">
        <v>382</v>
      </c>
    </row>
    <row r="48" spans="2:12" x14ac:dyDescent="0.3">
      <c r="B48" t="s">
        <v>174</v>
      </c>
      <c r="C48">
        <v>0</v>
      </c>
      <c r="D48">
        <v>-258</v>
      </c>
      <c r="E48">
        <v>-429</v>
      </c>
      <c r="F48">
        <v>-408</v>
      </c>
      <c r="G48">
        <v>-298</v>
      </c>
      <c r="H48">
        <v>-228</v>
      </c>
      <c r="I48">
        <v>-312</v>
      </c>
      <c r="J48">
        <v>-2346</v>
      </c>
      <c r="K48">
        <v>-832</v>
      </c>
      <c r="L48">
        <v>-389</v>
      </c>
    </row>
    <row r="49" spans="2:12" x14ac:dyDescent="0.3">
      <c r="B49" t="s">
        <v>175</v>
      </c>
      <c r="C49">
        <v>12</v>
      </c>
      <c r="D49">
        <v>5.8</v>
      </c>
      <c r="E49">
        <v>1.7</v>
      </c>
      <c r="F49">
        <v>3.1</v>
      </c>
      <c r="G49">
        <v>60</v>
      </c>
      <c r="H49">
        <v>11</v>
      </c>
      <c r="I49">
        <v>0.7</v>
      </c>
      <c r="J49">
        <v>3.1</v>
      </c>
      <c r="K49">
        <v>6</v>
      </c>
      <c r="L49">
        <v>7.5</v>
      </c>
    </row>
    <row r="50" spans="2:12" x14ac:dyDescent="0.3">
      <c r="B50" t="s">
        <v>176</v>
      </c>
      <c r="C50">
        <v>2532</v>
      </c>
      <c r="D50">
        <v>2848</v>
      </c>
      <c r="E50">
        <v>3741</v>
      </c>
      <c r="F50">
        <v>4360</v>
      </c>
      <c r="G50">
        <v>4084</v>
      </c>
      <c r="H50">
        <v>5025</v>
      </c>
      <c r="I50">
        <v>6324</v>
      </c>
      <c r="J50">
        <v>9108</v>
      </c>
      <c r="K50">
        <v>9686</v>
      </c>
      <c r="L50">
        <v>11883</v>
      </c>
    </row>
    <row r="51" spans="2:12" x14ac:dyDescent="0.3">
      <c r="B51" t="s">
        <v>177</v>
      </c>
      <c r="C51">
        <v>20</v>
      </c>
      <c r="D51">
        <v>20</v>
      </c>
      <c r="E51">
        <v>20</v>
      </c>
      <c r="F51">
        <v>40</v>
      </c>
      <c r="G51">
        <v>40</v>
      </c>
      <c r="H51">
        <v>40</v>
      </c>
      <c r="I51">
        <v>40</v>
      </c>
      <c r="J51">
        <v>40</v>
      </c>
      <c r="K51">
        <v>40</v>
      </c>
      <c r="L51">
        <v>40</v>
      </c>
    </row>
    <row r="52" spans="2:12" x14ac:dyDescent="0.3">
      <c r="B52" t="s">
        <v>178</v>
      </c>
      <c r="C52">
        <v>25</v>
      </c>
      <c r="D52">
        <v>25</v>
      </c>
      <c r="E52">
        <v>25</v>
      </c>
      <c r="F52">
        <v>41</v>
      </c>
      <c r="G52">
        <v>41</v>
      </c>
      <c r="H52">
        <v>41</v>
      </c>
      <c r="I52">
        <v>41</v>
      </c>
      <c r="J52">
        <v>41</v>
      </c>
      <c r="K52">
        <v>41</v>
      </c>
      <c r="L52">
        <v>41</v>
      </c>
    </row>
    <row r="53" spans="2:12" x14ac:dyDescent="0.3">
      <c r="B53" t="s">
        <v>179</v>
      </c>
      <c r="C53">
        <v>20</v>
      </c>
      <c r="D53">
        <v>20</v>
      </c>
      <c r="E53">
        <v>20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</row>
    <row r="54" spans="2:12" x14ac:dyDescent="0.3">
      <c r="B54" t="s">
        <v>180</v>
      </c>
      <c r="C54">
        <v>20</v>
      </c>
      <c r="D54">
        <v>20</v>
      </c>
      <c r="E54">
        <v>20</v>
      </c>
      <c r="F54">
        <v>40</v>
      </c>
      <c r="G54">
        <v>40</v>
      </c>
      <c r="H54">
        <v>40</v>
      </c>
      <c r="I54">
        <v>40</v>
      </c>
      <c r="J54">
        <v>40</v>
      </c>
      <c r="K54">
        <v>40</v>
      </c>
      <c r="L54">
        <v>40</v>
      </c>
    </row>
    <row r="55" spans="2:12" x14ac:dyDescent="0.3">
      <c r="B55" t="s">
        <v>181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2:12" x14ac:dyDescent="0.3"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2:12" x14ac:dyDescent="0.3">
      <c r="B57" t="s">
        <v>183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2:12" x14ac:dyDescent="0.3">
      <c r="B58" t="s">
        <v>184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</v>
      </c>
      <c r="L58">
        <v>23</v>
      </c>
    </row>
    <row r="59" spans="2:12" x14ac:dyDescent="0.3">
      <c r="B59" t="s">
        <v>185</v>
      </c>
      <c r="C59">
        <v>2035</v>
      </c>
      <c r="D59">
        <v>2237</v>
      </c>
      <c r="E59">
        <v>2907</v>
      </c>
      <c r="F59">
        <v>2841</v>
      </c>
      <c r="G59">
        <v>2783</v>
      </c>
      <c r="H59">
        <v>3445</v>
      </c>
      <c r="I59">
        <v>4682</v>
      </c>
      <c r="J59">
        <v>6115</v>
      </c>
      <c r="K59">
        <v>7395</v>
      </c>
      <c r="L59">
        <v>9300</v>
      </c>
    </row>
    <row r="60" spans="2:12" x14ac:dyDescent="0.3">
      <c r="B60" t="s">
        <v>186</v>
      </c>
      <c r="C60">
        <v>62</v>
      </c>
      <c r="D60">
        <v>62</v>
      </c>
      <c r="E60">
        <v>62</v>
      </c>
      <c r="F60">
        <v>42</v>
      </c>
      <c r="G60">
        <v>42</v>
      </c>
      <c r="H60">
        <v>42</v>
      </c>
      <c r="I60">
        <v>42</v>
      </c>
      <c r="J60">
        <v>42</v>
      </c>
      <c r="K60">
        <v>42</v>
      </c>
      <c r="L60">
        <v>42</v>
      </c>
    </row>
    <row r="61" spans="2:12" x14ac:dyDescent="0.3">
      <c r="B61" t="s">
        <v>187</v>
      </c>
      <c r="C61">
        <v>1.2</v>
      </c>
      <c r="D61">
        <v>0</v>
      </c>
      <c r="E61">
        <v>1.7</v>
      </c>
      <c r="F61">
        <v>-362</v>
      </c>
      <c r="G61">
        <v>-909</v>
      </c>
      <c r="H61">
        <v>-909</v>
      </c>
      <c r="I61">
        <v>-909</v>
      </c>
      <c r="J61">
        <v>-909</v>
      </c>
      <c r="K61">
        <v>-909</v>
      </c>
      <c r="L61">
        <v>-909</v>
      </c>
    </row>
    <row r="62" spans="2:12" x14ac:dyDescent="0.3">
      <c r="B62" t="s">
        <v>188</v>
      </c>
      <c r="C62">
        <v>1771</v>
      </c>
      <c r="D62">
        <v>1926</v>
      </c>
      <c r="E62">
        <v>2585</v>
      </c>
      <c r="F62">
        <v>2902</v>
      </c>
      <c r="G62">
        <v>3408</v>
      </c>
      <c r="H62">
        <v>4065</v>
      </c>
      <c r="I62">
        <v>5304</v>
      </c>
      <c r="J62">
        <v>6735</v>
      </c>
      <c r="K62">
        <v>8012</v>
      </c>
      <c r="L62">
        <v>9919</v>
      </c>
    </row>
    <row r="63" spans="2:12" x14ac:dyDescent="0.3">
      <c r="B63" t="s">
        <v>189</v>
      </c>
      <c r="C63">
        <v>201</v>
      </c>
      <c r="D63">
        <v>249</v>
      </c>
      <c r="E63">
        <v>258</v>
      </c>
      <c r="F63">
        <v>258</v>
      </c>
      <c r="G63">
        <v>238</v>
      </c>
      <c r="H63">
        <v>238</v>
      </c>
      <c r="I63">
        <v>238</v>
      </c>
      <c r="J63">
        <v>238</v>
      </c>
      <c r="K63">
        <v>238</v>
      </c>
      <c r="L63">
        <v>238</v>
      </c>
    </row>
    <row r="64" spans="2:12" x14ac:dyDescent="0.3">
      <c r="B64" t="s">
        <v>190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2:12" x14ac:dyDescent="0.3">
      <c r="B65" t="s">
        <v>191</v>
      </c>
      <c r="C65">
        <v>0</v>
      </c>
      <c r="D65">
        <v>0</v>
      </c>
      <c r="E65">
        <v>-0.1</v>
      </c>
      <c r="F65">
        <v>0.3</v>
      </c>
      <c r="G65">
        <v>4.5</v>
      </c>
      <c r="H65">
        <v>8.9</v>
      </c>
      <c r="I65">
        <v>7.6</v>
      </c>
      <c r="J65">
        <v>9.1</v>
      </c>
      <c r="K65">
        <v>12</v>
      </c>
      <c r="L65">
        <v>10</v>
      </c>
    </row>
    <row r="66" spans="2:12" x14ac:dyDescent="0.3">
      <c r="B66" t="s">
        <v>192</v>
      </c>
      <c r="C66">
        <v>0</v>
      </c>
      <c r="D66">
        <v>2.4</v>
      </c>
      <c r="E66">
        <v>13</v>
      </c>
      <c r="F66">
        <v>407</v>
      </c>
      <c r="G66">
        <v>267</v>
      </c>
      <c r="H66">
        <v>102</v>
      </c>
      <c r="I66">
        <v>216</v>
      </c>
      <c r="J66">
        <v>844</v>
      </c>
      <c r="K66">
        <v>138</v>
      </c>
      <c r="L66">
        <v>176</v>
      </c>
    </row>
    <row r="67" spans="2:12" x14ac:dyDescent="0.3">
      <c r="B67" t="s">
        <v>193</v>
      </c>
      <c r="C67">
        <v>0</v>
      </c>
      <c r="D67">
        <v>2.4</v>
      </c>
      <c r="E67">
        <v>2.7</v>
      </c>
      <c r="F67">
        <v>3</v>
      </c>
      <c r="G67">
        <v>25</v>
      </c>
      <c r="H67">
        <v>58</v>
      </c>
      <c r="I67">
        <v>58</v>
      </c>
      <c r="J67">
        <v>49</v>
      </c>
      <c r="K67">
        <v>23</v>
      </c>
      <c r="L67">
        <v>25</v>
      </c>
    </row>
    <row r="68" spans="2:12" x14ac:dyDescent="0.3">
      <c r="B68" t="s">
        <v>194</v>
      </c>
      <c r="C68">
        <v>0</v>
      </c>
      <c r="D68">
        <v>0.1</v>
      </c>
      <c r="E68">
        <v>1.4</v>
      </c>
      <c r="F68">
        <v>2.7</v>
      </c>
      <c r="G68">
        <v>25</v>
      </c>
      <c r="H68">
        <v>58</v>
      </c>
      <c r="I68">
        <v>57</v>
      </c>
      <c r="J68">
        <v>49</v>
      </c>
      <c r="K68">
        <v>23</v>
      </c>
      <c r="L68">
        <v>25</v>
      </c>
    </row>
    <row r="69" spans="2:12" x14ac:dyDescent="0.3">
      <c r="B69" t="s">
        <v>195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2:12" x14ac:dyDescent="0.3">
      <c r="B70" t="s">
        <v>196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2:12" x14ac:dyDescent="0.3">
      <c r="B71" t="s">
        <v>197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2:12" x14ac:dyDescent="0.3">
      <c r="B72" t="s">
        <v>198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2:12" x14ac:dyDescent="0.3">
      <c r="B73" t="s">
        <v>199</v>
      </c>
      <c r="C73">
        <v>0</v>
      </c>
      <c r="D73">
        <v>0</v>
      </c>
      <c r="E73">
        <v>1.3</v>
      </c>
      <c r="F73">
        <v>2.6</v>
      </c>
      <c r="G73">
        <v>22</v>
      </c>
      <c r="H73">
        <v>49</v>
      </c>
      <c r="I73">
        <v>69</v>
      </c>
      <c r="J73">
        <v>67</v>
      </c>
      <c r="K73">
        <v>45</v>
      </c>
      <c r="L73">
        <v>43</v>
      </c>
    </row>
    <row r="74" spans="2:12" x14ac:dyDescent="0.3">
      <c r="B74" t="s">
        <v>200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2:12" x14ac:dyDescent="0.3">
      <c r="B75" t="s">
        <v>201</v>
      </c>
      <c r="C75">
        <v>0</v>
      </c>
      <c r="D75">
        <v>0.1</v>
      </c>
      <c r="E75">
        <v>0.1</v>
      </c>
      <c r="F75">
        <v>0.1</v>
      </c>
      <c r="G75">
        <v>3.3</v>
      </c>
      <c r="H75">
        <v>9.1</v>
      </c>
      <c r="I75">
        <v>-11</v>
      </c>
      <c r="J75">
        <v>-18</v>
      </c>
      <c r="K75">
        <v>-22</v>
      </c>
      <c r="L75">
        <v>-19</v>
      </c>
    </row>
    <row r="76" spans="2:12" x14ac:dyDescent="0.3">
      <c r="B76" t="s">
        <v>202</v>
      </c>
      <c r="C76">
        <v>0</v>
      </c>
      <c r="D76">
        <v>2.2999999999999998</v>
      </c>
      <c r="E76">
        <v>1.2</v>
      </c>
      <c r="F76">
        <v>0.3</v>
      </c>
      <c r="G76">
        <v>0</v>
      </c>
      <c r="H76">
        <v>0</v>
      </c>
      <c r="I76">
        <v>0.2</v>
      </c>
      <c r="J76">
        <v>0.2</v>
      </c>
      <c r="K76">
        <v>0</v>
      </c>
      <c r="L76">
        <v>0</v>
      </c>
    </row>
    <row r="77" spans="2:12" x14ac:dyDescent="0.3">
      <c r="B77" t="s">
        <v>203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2:12" x14ac:dyDescent="0.3">
      <c r="B78" t="s">
        <v>204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2:12" x14ac:dyDescent="0.3">
      <c r="B79" t="s">
        <v>205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2:12" x14ac:dyDescent="0.3">
      <c r="B80" t="s">
        <v>206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2:12" x14ac:dyDescent="0.3">
      <c r="B81" t="s">
        <v>207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2:12" x14ac:dyDescent="0.3">
      <c r="B82" t="s">
        <v>208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2:12" x14ac:dyDescent="0.3">
      <c r="B83" t="s">
        <v>209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2:12" x14ac:dyDescent="0.3">
      <c r="B84" t="s">
        <v>210</v>
      </c>
      <c r="C84">
        <v>0</v>
      </c>
      <c r="D84">
        <v>2.2999999999999998</v>
      </c>
      <c r="E84">
        <v>1.2</v>
      </c>
      <c r="F84">
        <v>0.3</v>
      </c>
      <c r="G84">
        <v>0</v>
      </c>
      <c r="H84">
        <v>0</v>
      </c>
      <c r="I84">
        <v>0.2</v>
      </c>
      <c r="J84">
        <v>0.2</v>
      </c>
      <c r="K84">
        <v>0</v>
      </c>
      <c r="L84">
        <v>0</v>
      </c>
    </row>
    <row r="85" spans="2:12" x14ac:dyDescent="0.3">
      <c r="B85" t="s">
        <v>211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2:12" x14ac:dyDescent="0.3">
      <c r="B86" t="s">
        <v>212</v>
      </c>
      <c r="C86">
        <v>0</v>
      </c>
      <c r="D86">
        <v>0</v>
      </c>
      <c r="E86">
        <v>9.9</v>
      </c>
      <c r="F86">
        <v>404</v>
      </c>
      <c r="G86">
        <v>241</v>
      </c>
      <c r="H86">
        <v>44</v>
      </c>
      <c r="I86">
        <v>158</v>
      </c>
      <c r="J86">
        <v>795</v>
      </c>
      <c r="K86">
        <v>115</v>
      </c>
      <c r="L86">
        <v>151</v>
      </c>
    </row>
    <row r="87" spans="2:12" x14ac:dyDescent="0.3">
      <c r="B87" t="s">
        <v>213</v>
      </c>
      <c r="C87">
        <v>0</v>
      </c>
      <c r="D87">
        <v>0</v>
      </c>
      <c r="E87">
        <v>2.9</v>
      </c>
      <c r="F87">
        <v>399</v>
      </c>
      <c r="G87">
        <v>232</v>
      </c>
      <c r="H87">
        <v>35</v>
      </c>
      <c r="I87">
        <v>148</v>
      </c>
      <c r="J87">
        <v>731</v>
      </c>
      <c r="K87">
        <v>115</v>
      </c>
      <c r="L87">
        <v>151</v>
      </c>
    </row>
    <row r="88" spans="2:12" x14ac:dyDescent="0.3">
      <c r="B88" t="s">
        <v>214</v>
      </c>
      <c r="C88">
        <v>0</v>
      </c>
      <c r="D88">
        <v>0</v>
      </c>
      <c r="E88">
        <v>2.9</v>
      </c>
      <c r="F88">
        <v>399</v>
      </c>
      <c r="G88">
        <v>232</v>
      </c>
      <c r="H88">
        <v>35</v>
      </c>
      <c r="I88">
        <v>148</v>
      </c>
      <c r="J88">
        <v>731</v>
      </c>
      <c r="K88">
        <v>115</v>
      </c>
      <c r="L88">
        <v>151</v>
      </c>
    </row>
    <row r="89" spans="2:12" x14ac:dyDescent="0.3">
      <c r="B89" t="s">
        <v>215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2:12" x14ac:dyDescent="0.3">
      <c r="B90" t="s">
        <v>216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2:12" x14ac:dyDescent="0.3">
      <c r="B91" t="s">
        <v>217</v>
      </c>
      <c r="C91">
        <v>0</v>
      </c>
      <c r="D91">
        <v>0</v>
      </c>
      <c r="E91">
        <v>4.0999999999999996</v>
      </c>
      <c r="F91">
        <v>-394</v>
      </c>
      <c r="G91">
        <v>-222</v>
      </c>
      <c r="H91">
        <v>-27</v>
      </c>
      <c r="I91">
        <v>-139</v>
      </c>
      <c r="J91">
        <v>-668</v>
      </c>
      <c r="K91">
        <v>-115</v>
      </c>
      <c r="L91">
        <v>-151</v>
      </c>
    </row>
    <row r="92" spans="2:12" x14ac:dyDescent="0.3">
      <c r="B92" t="s">
        <v>218</v>
      </c>
      <c r="C92">
        <v>28</v>
      </c>
      <c r="D92">
        <v>32</v>
      </c>
      <c r="E92">
        <v>51</v>
      </c>
      <c r="F92">
        <v>46</v>
      </c>
      <c r="G92">
        <v>53</v>
      </c>
      <c r="H92">
        <v>45</v>
      </c>
      <c r="I92">
        <v>50</v>
      </c>
      <c r="J92">
        <v>119</v>
      </c>
      <c r="K92">
        <v>176</v>
      </c>
      <c r="L92">
        <v>162</v>
      </c>
    </row>
    <row r="93" spans="2:12" x14ac:dyDescent="0.3">
      <c r="B93" t="s">
        <v>219</v>
      </c>
      <c r="C93">
        <v>-0.7</v>
      </c>
      <c r="D93">
        <v>14</v>
      </c>
      <c r="E93">
        <v>20</v>
      </c>
      <c r="F93">
        <v>2.4</v>
      </c>
      <c r="G93">
        <v>-6.6</v>
      </c>
      <c r="H93">
        <v>-40</v>
      </c>
      <c r="I93">
        <v>-36</v>
      </c>
      <c r="J93">
        <v>16</v>
      </c>
      <c r="K93">
        <v>48</v>
      </c>
      <c r="L93">
        <v>8.6999999999999993</v>
      </c>
    </row>
    <row r="94" spans="2:12" x14ac:dyDescent="0.3">
      <c r="B94" t="s">
        <v>220</v>
      </c>
      <c r="C94">
        <v>1.1000000000000001</v>
      </c>
      <c r="D94">
        <v>2.4</v>
      </c>
      <c r="E94">
        <v>22</v>
      </c>
      <c r="F94">
        <v>29</v>
      </c>
      <c r="G94">
        <v>87</v>
      </c>
      <c r="H94">
        <v>149</v>
      </c>
      <c r="I94">
        <v>193</v>
      </c>
      <c r="J94">
        <v>228</v>
      </c>
      <c r="K94">
        <v>315</v>
      </c>
      <c r="L94">
        <v>454</v>
      </c>
    </row>
    <row r="95" spans="2:12" x14ac:dyDescent="0.3">
      <c r="B95" t="s">
        <v>221</v>
      </c>
      <c r="C95">
        <v>0.4</v>
      </c>
      <c r="D95">
        <v>16</v>
      </c>
      <c r="E95">
        <v>42</v>
      </c>
      <c r="F95">
        <v>32</v>
      </c>
      <c r="G95">
        <v>80</v>
      </c>
      <c r="H95">
        <v>109</v>
      </c>
      <c r="I95">
        <v>157</v>
      </c>
      <c r="J95">
        <v>244</v>
      </c>
      <c r="K95">
        <v>362</v>
      </c>
      <c r="L95">
        <v>463</v>
      </c>
    </row>
    <row r="96" spans="2:12" x14ac:dyDescent="0.3">
      <c r="B96" t="s">
        <v>222</v>
      </c>
      <c r="C96">
        <v>16</v>
      </c>
      <c r="D96">
        <v>0.5</v>
      </c>
      <c r="E96">
        <v>5.6</v>
      </c>
      <c r="F96">
        <v>8.1999999999999993</v>
      </c>
      <c r="G96">
        <v>14</v>
      </c>
      <c r="H96">
        <v>22</v>
      </c>
      <c r="I96">
        <v>13</v>
      </c>
      <c r="J96">
        <v>23</v>
      </c>
      <c r="K96">
        <v>31</v>
      </c>
      <c r="L96">
        <v>31</v>
      </c>
    </row>
    <row r="97" spans="2:12" x14ac:dyDescent="0.3">
      <c r="B97" t="s">
        <v>223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2:12" x14ac:dyDescent="0.3">
      <c r="B98" t="s">
        <v>224</v>
      </c>
      <c r="C98">
        <v>13</v>
      </c>
      <c r="D98">
        <v>18</v>
      </c>
      <c r="E98">
        <v>25</v>
      </c>
      <c r="F98">
        <v>36</v>
      </c>
      <c r="G98">
        <v>45</v>
      </c>
      <c r="H98">
        <v>63</v>
      </c>
      <c r="I98">
        <v>72</v>
      </c>
      <c r="J98">
        <v>80</v>
      </c>
      <c r="K98">
        <v>98</v>
      </c>
      <c r="L98">
        <v>123</v>
      </c>
    </row>
    <row r="99" spans="2:12" x14ac:dyDescent="0.3">
      <c r="B99" t="s">
        <v>225</v>
      </c>
      <c r="C99">
        <v>449</v>
      </c>
      <c r="D99">
        <v>557</v>
      </c>
      <c r="E99">
        <v>751</v>
      </c>
      <c r="F99">
        <v>1026</v>
      </c>
      <c r="G99">
        <v>941</v>
      </c>
      <c r="H99">
        <v>1393</v>
      </c>
      <c r="I99">
        <v>1336</v>
      </c>
      <c r="J99">
        <v>1990</v>
      </c>
      <c r="K99">
        <v>1936</v>
      </c>
      <c r="L99">
        <v>2181</v>
      </c>
    </row>
    <row r="100" spans="2:12" x14ac:dyDescent="0.3">
      <c r="B100" t="s">
        <v>226</v>
      </c>
      <c r="C100">
        <v>380</v>
      </c>
      <c r="D100">
        <v>419</v>
      </c>
      <c r="E100">
        <v>492</v>
      </c>
      <c r="F100">
        <v>649</v>
      </c>
      <c r="G100">
        <v>562</v>
      </c>
      <c r="H100">
        <v>745</v>
      </c>
      <c r="I100">
        <v>667</v>
      </c>
      <c r="J100">
        <v>1076</v>
      </c>
      <c r="K100">
        <v>1008</v>
      </c>
      <c r="L100">
        <v>1103</v>
      </c>
    </row>
    <row r="101" spans="2:12" x14ac:dyDescent="0.3">
      <c r="B101" t="s">
        <v>227</v>
      </c>
      <c r="C101">
        <v>380</v>
      </c>
      <c r="D101">
        <v>419</v>
      </c>
      <c r="E101">
        <v>492</v>
      </c>
      <c r="F101">
        <v>649</v>
      </c>
      <c r="G101">
        <v>562</v>
      </c>
      <c r="H101">
        <v>745</v>
      </c>
      <c r="I101">
        <v>667</v>
      </c>
      <c r="J101">
        <v>1076</v>
      </c>
      <c r="K101">
        <v>1008</v>
      </c>
      <c r="L101">
        <v>1103</v>
      </c>
    </row>
    <row r="102" spans="2:12" x14ac:dyDescent="0.3">
      <c r="B102" t="s">
        <v>228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2:12" x14ac:dyDescent="0.3">
      <c r="B103" t="s">
        <v>229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2:12" x14ac:dyDescent="0.3">
      <c r="B104" t="s">
        <v>230</v>
      </c>
      <c r="C104">
        <v>1</v>
      </c>
      <c r="D104">
        <v>7.8</v>
      </c>
      <c r="E104">
        <v>21</v>
      </c>
      <c r="F104">
        <v>81</v>
      </c>
      <c r="G104">
        <v>104</v>
      </c>
      <c r="H104">
        <v>281</v>
      </c>
      <c r="I104">
        <v>245</v>
      </c>
      <c r="J104">
        <v>280</v>
      </c>
      <c r="K104">
        <v>354</v>
      </c>
      <c r="L104">
        <v>436</v>
      </c>
    </row>
    <row r="105" spans="2:12" x14ac:dyDescent="0.3">
      <c r="B105" t="s">
        <v>231</v>
      </c>
      <c r="C105">
        <v>0.7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2:12" x14ac:dyDescent="0.3">
      <c r="B106" t="s">
        <v>232</v>
      </c>
      <c r="C106">
        <v>0</v>
      </c>
      <c r="D106">
        <v>0.4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2:12" x14ac:dyDescent="0.3">
      <c r="B107" t="s">
        <v>233</v>
      </c>
      <c r="C107">
        <v>0</v>
      </c>
      <c r="D107">
        <v>4.5</v>
      </c>
      <c r="E107">
        <v>0.3</v>
      </c>
      <c r="F107">
        <v>27</v>
      </c>
      <c r="G107">
        <v>1.1000000000000001</v>
      </c>
      <c r="H107">
        <v>66</v>
      </c>
      <c r="I107">
        <v>11</v>
      </c>
      <c r="J107">
        <v>15</v>
      </c>
      <c r="K107">
        <v>46</v>
      </c>
      <c r="L107">
        <v>46</v>
      </c>
    </row>
    <row r="108" spans="2:12" x14ac:dyDescent="0.3">
      <c r="B108" t="s">
        <v>234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2:12" x14ac:dyDescent="0.3">
      <c r="B109" t="s">
        <v>235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2:12" x14ac:dyDescent="0.3">
      <c r="B110" t="s">
        <v>236</v>
      </c>
      <c r="C110">
        <v>0.3</v>
      </c>
      <c r="D110">
        <v>2.9</v>
      </c>
      <c r="E110">
        <v>21</v>
      </c>
      <c r="F110">
        <v>54</v>
      </c>
      <c r="G110">
        <v>103</v>
      </c>
      <c r="H110">
        <v>216</v>
      </c>
      <c r="I110">
        <v>234</v>
      </c>
      <c r="J110">
        <v>265</v>
      </c>
      <c r="K110">
        <v>308</v>
      </c>
      <c r="L110">
        <v>389</v>
      </c>
    </row>
    <row r="111" spans="2:12" x14ac:dyDescent="0.3">
      <c r="B111" t="s">
        <v>237</v>
      </c>
      <c r="C111">
        <v>16</v>
      </c>
      <c r="D111">
        <v>29</v>
      </c>
      <c r="E111">
        <v>98</v>
      </c>
      <c r="F111">
        <v>134</v>
      </c>
      <c r="G111">
        <v>159</v>
      </c>
      <c r="H111">
        <v>186</v>
      </c>
      <c r="I111">
        <v>141</v>
      </c>
      <c r="J111">
        <v>161</v>
      </c>
      <c r="K111">
        <v>188</v>
      </c>
      <c r="L111">
        <v>213</v>
      </c>
    </row>
    <row r="112" spans="2:12" x14ac:dyDescent="0.3">
      <c r="B112" t="s">
        <v>238</v>
      </c>
      <c r="C112">
        <v>52</v>
      </c>
      <c r="D112">
        <v>101</v>
      </c>
      <c r="E112">
        <v>140</v>
      </c>
      <c r="F112">
        <v>162</v>
      </c>
      <c r="G112">
        <v>117</v>
      </c>
      <c r="H112">
        <v>180</v>
      </c>
      <c r="I112">
        <v>283</v>
      </c>
      <c r="J112">
        <v>473</v>
      </c>
      <c r="K112">
        <v>386</v>
      </c>
      <c r="L112">
        <v>430</v>
      </c>
    </row>
    <row r="113" spans="2:12" x14ac:dyDescent="0.3">
      <c r="B113" t="s">
        <v>239</v>
      </c>
      <c r="C113">
        <v>0</v>
      </c>
      <c r="D113">
        <v>9.6</v>
      </c>
      <c r="E113">
        <v>13</v>
      </c>
      <c r="F113">
        <v>10</v>
      </c>
      <c r="G113">
        <v>0.1</v>
      </c>
      <c r="H113">
        <v>2.6</v>
      </c>
      <c r="I113">
        <v>39</v>
      </c>
      <c r="J113">
        <v>11</v>
      </c>
      <c r="K113">
        <v>0</v>
      </c>
      <c r="L113">
        <v>0</v>
      </c>
    </row>
    <row r="114" spans="2:12" x14ac:dyDescent="0.3">
      <c r="B114" t="s">
        <v>240</v>
      </c>
      <c r="C114">
        <v>4.9000000000000004</v>
      </c>
      <c r="D114">
        <v>3</v>
      </c>
      <c r="E114">
        <v>7.5</v>
      </c>
      <c r="F114">
        <v>9.3000000000000007</v>
      </c>
      <c r="G114">
        <v>3.2</v>
      </c>
      <c r="H114">
        <v>4.0999999999999996</v>
      </c>
      <c r="I114">
        <v>12</v>
      </c>
      <c r="J114">
        <v>17</v>
      </c>
      <c r="K114">
        <v>26</v>
      </c>
      <c r="L114">
        <v>27</v>
      </c>
    </row>
    <row r="115" spans="2:12" x14ac:dyDescent="0.3">
      <c r="B115" t="s">
        <v>241</v>
      </c>
      <c r="C115">
        <v>0</v>
      </c>
      <c r="D115">
        <v>0</v>
      </c>
      <c r="E115">
        <v>0</v>
      </c>
      <c r="F115">
        <v>1.9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2:12" x14ac:dyDescent="0.3">
      <c r="B116" t="s">
        <v>242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2:12" x14ac:dyDescent="0.3">
      <c r="B117" t="s">
        <v>243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2:12" x14ac:dyDescent="0.3">
      <c r="B118" t="s">
        <v>244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1.1000000000000001</v>
      </c>
      <c r="I118">
        <v>0</v>
      </c>
      <c r="J118">
        <v>0</v>
      </c>
      <c r="K118">
        <v>0</v>
      </c>
      <c r="L118">
        <v>0</v>
      </c>
    </row>
    <row r="119" spans="2:12" x14ac:dyDescent="0.3">
      <c r="B119" t="s">
        <v>245</v>
      </c>
      <c r="C119">
        <v>47</v>
      </c>
      <c r="D119">
        <v>88</v>
      </c>
      <c r="E119">
        <v>120</v>
      </c>
      <c r="F119">
        <v>140</v>
      </c>
      <c r="G119">
        <v>113</v>
      </c>
      <c r="H119">
        <v>172</v>
      </c>
      <c r="I119">
        <v>231</v>
      </c>
      <c r="J119">
        <v>446</v>
      </c>
      <c r="K119">
        <v>360</v>
      </c>
      <c r="L119">
        <v>402</v>
      </c>
    </row>
    <row r="120" spans="2:12" x14ac:dyDescent="0.3">
      <c r="B120" t="s">
        <v>246</v>
      </c>
      <c r="C120">
        <v>24</v>
      </c>
      <c r="D120">
        <v>21</v>
      </c>
      <c r="E120">
        <v>31</v>
      </c>
      <c r="F120">
        <v>16</v>
      </c>
      <c r="G120">
        <v>361</v>
      </c>
      <c r="H120">
        <v>242</v>
      </c>
      <c r="I120">
        <v>35</v>
      </c>
      <c r="J120">
        <v>83</v>
      </c>
      <c r="K120">
        <v>48</v>
      </c>
      <c r="L120">
        <v>89</v>
      </c>
    </row>
    <row r="121" spans="2:12" x14ac:dyDescent="0.3">
      <c r="B121" t="s">
        <v>247</v>
      </c>
      <c r="C121">
        <v>-39</v>
      </c>
      <c r="D121">
        <v>-87</v>
      </c>
      <c r="E121">
        <v>-133</v>
      </c>
      <c r="F121">
        <v>268</v>
      </c>
      <c r="G121">
        <v>129</v>
      </c>
      <c r="H121">
        <v>-292</v>
      </c>
      <c r="I121">
        <v>-466</v>
      </c>
      <c r="J121">
        <v>462</v>
      </c>
      <c r="K121">
        <v>-291</v>
      </c>
      <c r="L121">
        <v>-1002</v>
      </c>
    </row>
    <row r="127" spans="2:12" x14ac:dyDescent="0.3">
      <c r="B12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Income stmt</vt:lpstr>
      <vt:lpstr>Balance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2025-08-02T06:08:02Z</dcterms:modified>
</cp:coreProperties>
</file>