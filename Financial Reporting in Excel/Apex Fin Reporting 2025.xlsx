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PC\.gemini\antigravity\scratch\financial_reporting_project\"/>
    </mc:Choice>
  </mc:AlternateContent>
  <xr:revisionPtr revIDLastSave="0" documentId="13_ncr:1_{4D6AC141-3D27-4497-86A9-615918E9FAE7}" xr6:coauthVersionLast="47" xr6:coauthVersionMax="47" xr10:uidLastSave="{00000000-0000-0000-0000-000000000000}"/>
  <bookViews>
    <workbookView xWindow="-108" yWindow="-108" windowWidth="23256" windowHeight="13176" tabRatio="874" xr2:uid="{00000000-000D-0000-FFFF-FFFF00000000}"/>
  </bookViews>
  <sheets>
    <sheet name="Cover" sheetId="1" r:id="rId1"/>
    <sheet name="Dashboard" sheetId="9" r:id="rId2"/>
    <sheet name="Income_Statement" sheetId="6" r:id="rId3"/>
    <sheet name="Department_Performance" sheetId="7" r:id="rId4"/>
    <sheet name="Data &gt;&gt;" sheetId="10" r:id="rId5"/>
    <sheet name="Accounts" sheetId="2" r:id="rId6"/>
    <sheet name="Validation_Lists" sheetId="3" r:id="rId7"/>
    <sheet name="Raw_Data" sheetId="4" r:id="rId8"/>
    <sheet name="Budget" sheetId="5" r:id="rId9"/>
    <sheet name="Data_Quality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9" l="1"/>
  <c r="M42" i="9"/>
  <c r="K42" i="9"/>
  <c r="C51" i="9"/>
  <c r="M41" i="9"/>
  <c r="K41" i="9"/>
  <c r="C50" i="9"/>
  <c r="M34" i="9"/>
  <c r="K34" i="9"/>
  <c r="L34" i="9" s="1"/>
  <c r="M40" i="9"/>
  <c r="K40" i="9"/>
  <c r="C49" i="9"/>
  <c r="M33" i="9"/>
  <c r="K33" i="9"/>
  <c r="L33" i="9" s="1"/>
  <c r="M39" i="9"/>
  <c r="K39" i="9"/>
  <c r="C48" i="9"/>
  <c r="M32" i="9"/>
  <c r="K32" i="9"/>
  <c r="L32" i="9" s="1"/>
  <c r="M38" i="9"/>
  <c r="K38" i="9"/>
  <c r="B43" i="9"/>
  <c r="B42" i="9"/>
  <c r="B41" i="9"/>
  <c r="B40" i="9"/>
  <c r="B39" i="9"/>
  <c r="B38" i="9"/>
  <c r="B37" i="9"/>
  <c r="B36" i="9"/>
  <c r="B35" i="9"/>
  <c r="B34" i="9"/>
  <c r="B33" i="9"/>
  <c r="B32" i="9"/>
  <c r="D5" i="9"/>
  <c r="F5" i="9" s="1"/>
  <c r="F6" i="9" s="1"/>
  <c r="B5" i="9"/>
  <c r="B11" i="8"/>
  <c r="D11" i="8" s="1"/>
  <c r="B10" i="8"/>
  <c r="D10" i="8" s="1"/>
  <c r="B9" i="8"/>
  <c r="D9" i="8" s="1"/>
  <c r="B8" i="8"/>
  <c r="D8" i="8" s="1"/>
  <c r="B6" i="8"/>
  <c r="D6" i="8" s="1"/>
  <c r="B5" i="8"/>
  <c r="D5" i="8" s="1"/>
  <c r="H11" i="7"/>
  <c r="H10" i="7"/>
  <c r="H9" i="7"/>
  <c r="H8" i="7"/>
  <c r="H7" i="7"/>
  <c r="H12" i="7" s="1"/>
  <c r="E4" i="7"/>
  <c r="C22" i="6"/>
  <c r="C21" i="6"/>
  <c r="F21" i="6" s="1"/>
  <c r="C20" i="6"/>
  <c r="C19" i="6"/>
  <c r="F19" i="6" s="1"/>
  <c r="C18" i="6"/>
  <c r="C14" i="6"/>
  <c r="F14" i="6" s="1"/>
  <c r="C12" i="6"/>
  <c r="F12" i="6" s="1"/>
  <c r="C11" i="6"/>
  <c r="C8" i="6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1321" i="4"/>
  <c r="E1321" i="4"/>
  <c r="C1321" i="4"/>
  <c r="F1320" i="4"/>
  <c r="E1320" i="4"/>
  <c r="C1320" i="4"/>
  <c r="F1319" i="4"/>
  <c r="E1319" i="4"/>
  <c r="C1319" i="4"/>
  <c r="F1318" i="4"/>
  <c r="E1318" i="4"/>
  <c r="C1318" i="4"/>
  <c r="F1317" i="4"/>
  <c r="E1317" i="4"/>
  <c r="C1317" i="4"/>
  <c r="F1316" i="4"/>
  <c r="E1316" i="4"/>
  <c r="C1316" i="4"/>
  <c r="F1315" i="4"/>
  <c r="E1315" i="4"/>
  <c r="C1315" i="4"/>
  <c r="F1314" i="4"/>
  <c r="E1314" i="4"/>
  <c r="C1314" i="4"/>
  <c r="F1313" i="4"/>
  <c r="E1313" i="4"/>
  <c r="C1313" i="4"/>
  <c r="F1312" i="4"/>
  <c r="E1312" i="4"/>
  <c r="C1312" i="4"/>
  <c r="F1311" i="4"/>
  <c r="E1311" i="4"/>
  <c r="C1311" i="4"/>
  <c r="F1310" i="4"/>
  <c r="E1310" i="4"/>
  <c r="C1310" i="4"/>
  <c r="F1309" i="4"/>
  <c r="E1309" i="4"/>
  <c r="C1309" i="4"/>
  <c r="F1308" i="4"/>
  <c r="E1308" i="4"/>
  <c r="C1308" i="4"/>
  <c r="F1307" i="4"/>
  <c r="E1307" i="4"/>
  <c r="C1307" i="4"/>
  <c r="F1306" i="4"/>
  <c r="E1306" i="4"/>
  <c r="C1306" i="4"/>
  <c r="F1305" i="4"/>
  <c r="E1305" i="4"/>
  <c r="C1305" i="4"/>
  <c r="F1304" i="4"/>
  <c r="E1304" i="4"/>
  <c r="C1304" i="4"/>
  <c r="F1303" i="4"/>
  <c r="E1303" i="4"/>
  <c r="C1303" i="4"/>
  <c r="F1302" i="4"/>
  <c r="E1302" i="4"/>
  <c r="C1302" i="4"/>
  <c r="F1301" i="4"/>
  <c r="E1301" i="4"/>
  <c r="C1301" i="4"/>
  <c r="F1300" i="4"/>
  <c r="E1300" i="4"/>
  <c r="C1300" i="4"/>
  <c r="F1299" i="4"/>
  <c r="E1299" i="4"/>
  <c r="C1299" i="4"/>
  <c r="F1298" i="4"/>
  <c r="E1298" i="4"/>
  <c r="C1298" i="4"/>
  <c r="F1297" i="4"/>
  <c r="E1297" i="4"/>
  <c r="C1297" i="4"/>
  <c r="F1296" i="4"/>
  <c r="E1296" i="4"/>
  <c r="C1296" i="4"/>
  <c r="F1295" i="4"/>
  <c r="E1295" i="4"/>
  <c r="C1295" i="4"/>
  <c r="F1294" i="4"/>
  <c r="E1294" i="4"/>
  <c r="C1294" i="4"/>
  <c r="F1293" i="4"/>
  <c r="E1293" i="4"/>
  <c r="C1293" i="4"/>
  <c r="F1292" i="4"/>
  <c r="E1292" i="4"/>
  <c r="C1292" i="4"/>
  <c r="F1291" i="4"/>
  <c r="E1291" i="4"/>
  <c r="C1291" i="4"/>
  <c r="F1290" i="4"/>
  <c r="E1290" i="4"/>
  <c r="C1290" i="4"/>
  <c r="F1289" i="4"/>
  <c r="E1289" i="4"/>
  <c r="C1289" i="4"/>
  <c r="F1288" i="4"/>
  <c r="E1288" i="4"/>
  <c r="C1288" i="4"/>
  <c r="F1287" i="4"/>
  <c r="E1287" i="4"/>
  <c r="C1287" i="4"/>
  <c r="F1286" i="4"/>
  <c r="E1286" i="4"/>
  <c r="C1286" i="4"/>
  <c r="F1285" i="4"/>
  <c r="E1285" i="4"/>
  <c r="C1285" i="4"/>
  <c r="F1284" i="4"/>
  <c r="E1284" i="4"/>
  <c r="C1284" i="4"/>
  <c r="F1283" i="4"/>
  <c r="E1283" i="4"/>
  <c r="C1283" i="4"/>
  <c r="F1282" i="4"/>
  <c r="E1282" i="4"/>
  <c r="C1282" i="4"/>
  <c r="F1281" i="4"/>
  <c r="E1281" i="4"/>
  <c r="C1281" i="4"/>
  <c r="F1280" i="4"/>
  <c r="E1280" i="4"/>
  <c r="C1280" i="4"/>
  <c r="F1279" i="4"/>
  <c r="E1279" i="4"/>
  <c r="C1279" i="4"/>
  <c r="F1278" i="4"/>
  <c r="E1278" i="4"/>
  <c r="C1278" i="4"/>
  <c r="F1277" i="4"/>
  <c r="E1277" i="4"/>
  <c r="C1277" i="4"/>
  <c r="F1276" i="4"/>
  <c r="E1276" i="4"/>
  <c r="C1276" i="4"/>
  <c r="F1275" i="4"/>
  <c r="E1275" i="4"/>
  <c r="C1275" i="4"/>
  <c r="F1274" i="4"/>
  <c r="E1274" i="4"/>
  <c r="C1274" i="4"/>
  <c r="F1273" i="4"/>
  <c r="E1273" i="4"/>
  <c r="C1273" i="4"/>
  <c r="F1272" i="4"/>
  <c r="E1272" i="4"/>
  <c r="C1272" i="4"/>
  <c r="F1271" i="4"/>
  <c r="E1271" i="4"/>
  <c r="C1271" i="4"/>
  <c r="F1270" i="4"/>
  <c r="E1270" i="4"/>
  <c r="C1270" i="4"/>
  <c r="F1269" i="4"/>
  <c r="E1269" i="4"/>
  <c r="C1269" i="4"/>
  <c r="F1268" i="4"/>
  <c r="E1268" i="4"/>
  <c r="C1268" i="4"/>
  <c r="F1267" i="4"/>
  <c r="E1267" i="4"/>
  <c r="C1267" i="4"/>
  <c r="F1266" i="4"/>
  <c r="E1266" i="4"/>
  <c r="C1266" i="4"/>
  <c r="F1265" i="4"/>
  <c r="E1265" i="4"/>
  <c r="C1265" i="4"/>
  <c r="F1264" i="4"/>
  <c r="E1264" i="4"/>
  <c r="C1264" i="4"/>
  <c r="F1263" i="4"/>
  <c r="E1263" i="4"/>
  <c r="C1263" i="4"/>
  <c r="F1262" i="4"/>
  <c r="E1262" i="4"/>
  <c r="C1262" i="4"/>
  <c r="F1261" i="4"/>
  <c r="E1261" i="4"/>
  <c r="C1261" i="4"/>
  <c r="F1260" i="4"/>
  <c r="E1260" i="4"/>
  <c r="C1260" i="4"/>
  <c r="F1259" i="4"/>
  <c r="E1259" i="4"/>
  <c r="C1259" i="4"/>
  <c r="F1258" i="4"/>
  <c r="E1258" i="4"/>
  <c r="C1258" i="4"/>
  <c r="F1257" i="4"/>
  <c r="E1257" i="4"/>
  <c r="C1257" i="4"/>
  <c r="F1256" i="4"/>
  <c r="E1256" i="4"/>
  <c r="C1256" i="4"/>
  <c r="F1255" i="4"/>
  <c r="E1255" i="4"/>
  <c r="C1255" i="4"/>
  <c r="F1254" i="4"/>
  <c r="E1254" i="4"/>
  <c r="C1254" i="4"/>
  <c r="F1253" i="4"/>
  <c r="E1253" i="4"/>
  <c r="C1253" i="4"/>
  <c r="F1252" i="4"/>
  <c r="E1252" i="4"/>
  <c r="C1252" i="4"/>
  <c r="F1251" i="4"/>
  <c r="E1251" i="4"/>
  <c r="C1251" i="4"/>
  <c r="F1250" i="4"/>
  <c r="E1250" i="4"/>
  <c r="C1250" i="4"/>
  <c r="F1249" i="4"/>
  <c r="E1249" i="4"/>
  <c r="C1249" i="4"/>
  <c r="F1248" i="4"/>
  <c r="E1248" i="4"/>
  <c r="C1248" i="4"/>
  <c r="F1247" i="4"/>
  <c r="E1247" i="4"/>
  <c r="C1247" i="4"/>
  <c r="F1246" i="4"/>
  <c r="E1246" i="4"/>
  <c r="C1246" i="4"/>
  <c r="F1245" i="4"/>
  <c r="E1245" i="4"/>
  <c r="C1245" i="4"/>
  <c r="F1244" i="4"/>
  <c r="E1244" i="4"/>
  <c r="C1244" i="4"/>
  <c r="F1243" i="4"/>
  <c r="E1243" i="4"/>
  <c r="C1243" i="4"/>
  <c r="F1242" i="4"/>
  <c r="E1242" i="4"/>
  <c r="C1242" i="4"/>
  <c r="F1241" i="4"/>
  <c r="E1241" i="4"/>
  <c r="C1241" i="4"/>
  <c r="F1240" i="4"/>
  <c r="E1240" i="4"/>
  <c r="C1240" i="4"/>
  <c r="F1239" i="4"/>
  <c r="E1239" i="4"/>
  <c r="C1239" i="4"/>
  <c r="F1238" i="4"/>
  <c r="E1238" i="4"/>
  <c r="C1238" i="4"/>
  <c r="F1237" i="4"/>
  <c r="E1237" i="4"/>
  <c r="C1237" i="4"/>
  <c r="F1236" i="4"/>
  <c r="E1236" i="4"/>
  <c r="C1236" i="4"/>
  <c r="F1235" i="4"/>
  <c r="E1235" i="4"/>
  <c r="C1235" i="4"/>
  <c r="F1234" i="4"/>
  <c r="E1234" i="4"/>
  <c r="C1234" i="4"/>
  <c r="F1233" i="4"/>
  <c r="E1233" i="4"/>
  <c r="C1233" i="4"/>
  <c r="F1232" i="4"/>
  <c r="E1232" i="4"/>
  <c r="C1232" i="4"/>
  <c r="F1231" i="4"/>
  <c r="E1231" i="4"/>
  <c r="C1231" i="4"/>
  <c r="F1230" i="4"/>
  <c r="E1230" i="4"/>
  <c r="C1230" i="4"/>
  <c r="F1229" i="4"/>
  <c r="E1229" i="4"/>
  <c r="C1229" i="4"/>
  <c r="F1228" i="4"/>
  <c r="E1228" i="4"/>
  <c r="C1228" i="4"/>
  <c r="F1227" i="4"/>
  <c r="E1227" i="4"/>
  <c r="C1227" i="4"/>
  <c r="F1226" i="4"/>
  <c r="E1226" i="4"/>
  <c r="C1226" i="4"/>
  <c r="F1225" i="4"/>
  <c r="E1225" i="4"/>
  <c r="C1225" i="4"/>
  <c r="F1224" i="4"/>
  <c r="E1224" i="4"/>
  <c r="C1224" i="4"/>
  <c r="F1223" i="4"/>
  <c r="E1223" i="4"/>
  <c r="C1223" i="4"/>
  <c r="F1222" i="4"/>
  <c r="E1222" i="4"/>
  <c r="C1222" i="4"/>
  <c r="F1221" i="4"/>
  <c r="E1221" i="4"/>
  <c r="C1221" i="4"/>
  <c r="F1220" i="4"/>
  <c r="E1220" i="4"/>
  <c r="C1220" i="4"/>
  <c r="F1219" i="4"/>
  <c r="E1219" i="4"/>
  <c r="C1219" i="4"/>
  <c r="F1218" i="4"/>
  <c r="E1218" i="4"/>
  <c r="C1218" i="4"/>
  <c r="F1217" i="4"/>
  <c r="E1217" i="4"/>
  <c r="C1217" i="4"/>
  <c r="F1216" i="4"/>
  <c r="E1216" i="4"/>
  <c r="C1216" i="4"/>
  <c r="F1215" i="4"/>
  <c r="E1215" i="4"/>
  <c r="C1215" i="4"/>
  <c r="F1214" i="4"/>
  <c r="E1214" i="4"/>
  <c r="C1214" i="4"/>
  <c r="F1213" i="4"/>
  <c r="E1213" i="4"/>
  <c r="C1213" i="4"/>
  <c r="F1212" i="4"/>
  <c r="E1212" i="4"/>
  <c r="C1212" i="4"/>
  <c r="F1211" i="4"/>
  <c r="E1211" i="4"/>
  <c r="C1211" i="4"/>
  <c r="F1210" i="4"/>
  <c r="E1210" i="4"/>
  <c r="C1210" i="4"/>
  <c r="F1209" i="4"/>
  <c r="E1209" i="4"/>
  <c r="C1209" i="4"/>
  <c r="F1208" i="4"/>
  <c r="E1208" i="4"/>
  <c r="C1208" i="4"/>
  <c r="F1207" i="4"/>
  <c r="E1207" i="4"/>
  <c r="C1207" i="4"/>
  <c r="F1206" i="4"/>
  <c r="E1206" i="4"/>
  <c r="C1206" i="4"/>
  <c r="F1205" i="4"/>
  <c r="E1205" i="4"/>
  <c r="C1205" i="4"/>
  <c r="F1204" i="4"/>
  <c r="E1204" i="4"/>
  <c r="C1204" i="4"/>
  <c r="F1203" i="4"/>
  <c r="E1203" i="4"/>
  <c r="C1203" i="4"/>
  <c r="F1202" i="4"/>
  <c r="E1202" i="4"/>
  <c r="C1202" i="4"/>
  <c r="F1201" i="4"/>
  <c r="E1201" i="4"/>
  <c r="C1201" i="4"/>
  <c r="F1200" i="4"/>
  <c r="E1200" i="4"/>
  <c r="C1200" i="4"/>
  <c r="F1199" i="4"/>
  <c r="E1199" i="4"/>
  <c r="C1199" i="4"/>
  <c r="F1198" i="4"/>
  <c r="E1198" i="4"/>
  <c r="C1198" i="4"/>
  <c r="F1197" i="4"/>
  <c r="E1197" i="4"/>
  <c r="C1197" i="4"/>
  <c r="F1196" i="4"/>
  <c r="E1196" i="4"/>
  <c r="C1196" i="4"/>
  <c r="F1195" i="4"/>
  <c r="E1195" i="4"/>
  <c r="C1195" i="4"/>
  <c r="F1194" i="4"/>
  <c r="E1194" i="4"/>
  <c r="C1194" i="4"/>
  <c r="F1193" i="4"/>
  <c r="E1193" i="4"/>
  <c r="C1193" i="4"/>
  <c r="F1192" i="4"/>
  <c r="E1192" i="4"/>
  <c r="C1192" i="4"/>
  <c r="F1191" i="4"/>
  <c r="E1191" i="4"/>
  <c r="C1191" i="4"/>
  <c r="F1190" i="4"/>
  <c r="E1190" i="4"/>
  <c r="C1190" i="4"/>
  <c r="F1189" i="4"/>
  <c r="E1189" i="4"/>
  <c r="C1189" i="4"/>
  <c r="F1188" i="4"/>
  <c r="E1188" i="4"/>
  <c r="C1188" i="4"/>
  <c r="F1187" i="4"/>
  <c r="E1187" i="4"/>
  <c r="C1187" i="4"/>
  <c r="F1186" i="4"/>
  <c r="E1186" i="4"/>
  <c r="C1186" i="4"/>
  <c r="F1185" i="4"/>
  <c r="E1185" i="4"/>
  <c r="C1185" i="4"/>
  <c r="F1184" i="4"/>
  <c r="E1184" i="4"/>
  <c r="C1184" i="4"/>
  <c r="F1183" i="4"/>
  <c r="E1183" i="4"/>
  <c r="C1183" i="4"/>
  <c r="F1182" i="4"/>
  <c r="E1182" i="4"/>
  <c r="C1182" i="4"/>
  <c r="F1181" i="4"/>
  <c r="E1181" i="4"/>
  <c r="C1181" i="4"/>
  <c r="F1180" i="4"/>
  <c r="E1180" i="4"/>
  <c r="C1180" i="4"/>
  <c r="F1179" i="4"/>
  <c r="E1179" i="4"/>
  <c r="C1179" i="4"/>
  <c r="F1178" i="4"/>
  <c r="E1178" i="4"/>
  <c r="C1178" i="4"/>
  <c r="F1177" i="4"/>
  <c r="E1177" i="4"/>
  <c r="C1177" i="4"/>
  <c r="F1176" i="4"/>
  <c r="E1176" i="4"/>
  <c r="C1176" i="4"/>
  <c r="F1175" i="4"/>
  <c r="E1175" i="4"/>
  <c r="C1175" i="4"/>
  <c r="F1174" i="4"/>
  <c r="E1174" i="4"/>
  <c r="C1174" i="4"/>
  <c r="F1173" i="4"/>
  <c r="E1173" i="4"/>
  <c r="C1173" i="4"/>
  <c r="F1172" i="4"/>
  <c r="E1172" i="4"/>
  <c r="C1172" i="4"/>
  <c r="F1171" i="4"/>
  <c r="E1171" i="4"/>
  <c r="C1171" i="4"/>
  <c r="F1170" i="4"/>
  <c r="E1170" i="4"/>
  <c r="C1170" i="4"/>
  <c r="F1169" i="4"/>
  <c r="E1169" i="4"/>
  <c r="C1169" i="4"/>
  <c r="F1168" i="4"/>
  <c r="E1168" i="4"/>
  <c r="C1168" i="4"/>
  <c r="F1167" i="4"/>
  <c r="E1167" i="4"/>
  <c r="C1167" i="4"/>
  <c r="F1166" i="4"/>
  <c r="E1166" i="4"/>
  <c r="C1166" i="4"/>
  <c r="F1165" i="4"/>
  <c r="E1165" i="4"/>
  <c r="C1165" i="4"/>
  <c r="F1164" i="4"/>
  <c r="E1164" i="4"/>
  <c r="C1164" i="4"/>
  <c r="F1163" i="4"/>
  <c r="E1163" i="4"/>
  <c r="C1163" i="4"/>
  <c r="F1162" i="4"/>
  <c r="E1162" i="4"/>
  <c r="C1162" i="4"/>
  <c r="F1161" i="4"/>
  <c r="E1161" i="4"/>
  <c r="C1161" i="4"/>
  <c r="F1160" i="4"/>
  <c r="E1160" i="4"/>
  <c r="C1160" i="4"/>
  <c r="F1159" i="4"/>
  <c r="E1159" i="4"/>
  <c r="C1159" i="4"/>
  <c r="F1158" i="4"/>
  <c r="E1158" i="4"/>
  <c r="C1158" i="4"/>
  <c r="F1157" i="4"/>
  <c r="E1157" i="4"/>
  <c r="C1157" i="4"/>
  <c r="F1156" i="4"/>
  <c r="E1156" i="4"/>
  <c r="C1156" i="4"/>
  <c r="F1155" i="4"/>
  <c r="E1155" i="4"/>
  <c r="C1155" i="4"/>
  <c r="F1154" i="4"/>
  <c r="E1154" i="4"/>
  <c r="C1154" i="4"/>
  <c r="F1153" i="4"/>
  <c r="E1153" i="4"/>
  <c r="C1153" i="4"/>
  <c r="F1152" i="4"/>
  <c r="E1152" i="4"/>
  <c r="C1152" i="4"/>
  <c r="F1151" i="4"/>
  <c r="E1151" i="4"/>
  <c r="C1151" i="4"/>
  <c r="F1150" i="4"/>
  <c r="E1150" i="4"/>
  <c r="C1150" i="4"/>
  <c r="F1149" i="4"/>
  <c r="E1149" i="4"/>
  <c r="C1149" i="4"/>
  <c r="F1148" i="4"/>
  <c r="E1148" i="4"/>
  <c r="C1148" i="4"/>
  <c r="F1147" i="4"/>
  <c r="E1147" i="4"/>
  <c r="C1147" i="4"/>
  <c r="F1146" i="4"/>
  <c r="E1146" i="4"/>
  <c r="C1146" i="4"/>
  <c r="F1145" i="4"/>
  <c r="E1145" i="4"/>
  <c r="C1145" i="4"/>
  <c r="F1144" i="4"/>
  <c r="E1144" i="4"/>
  <c r="C1144" i="4"/>
  <c r="F1143" i="4"/>
  <c r="E1143" i="4"/>
  <c r="C1143" i="4"/>
  <c r="F1142" i="4"/>
  <c r="E1142" i="4"/>
  <c r="C1142" i="4"/>
  <c r="F1141" i="4"/>
  <c r="E1141" i="4"/>
  <c r="C1141" i="4"/>
  <c r="F1140" i="4"/>
  <c r="E1140" i="4"/>
  <c r="C1140" i="4"/>
  <c r="F1139" i="4"/>
  <c r="E1139" i="4"/>
  <c r="C1139" i="4"/>
  <c r="F1138" i="4"/>
  <c r="E1138" i="4"/>
  <c r="C1138" i="4"/>
  <c r="F1137" i="4"/>
  <c r="E1137" i="4"/>
  <c r="C1137" i="4"/>
  <c r="F1136" i="4"/>
  <c r="E1136" i="4"/>
  <c r="C1136" i="4"/>
  <c r="F1135" i="4"/>
  <c r="E1135" i="4"/>
  <c r="C1135" i="4"/>
  <c r="F1134" i="4"/>
  <c r="E1134" i="4"/>
  <c r="C1134" i="4"/>
  <c r="F1133" i="4"/>
  <c r="E1133" i="4"/>
  <c r="C1133" i="4"/>
  <c r="F1132" i="4"/>
  <c r="E1132" i="4"/>
  <c r="C1132" i="4"/>
  <c r="F1131" i="4"/>
  <c r="E1131" i="4"/>
  <c r="C1131" i="4"/>
  <c r="F1130" i="4"/>
  <c r="E1130" i="4"/>
  <c r="C1130" i="4"/>
  <c r="F1129" i="4"/>
  <c r="E1129" i="4"/>
  <c r="C1129" i="4"/>
  <c r="F1128" i="4"/>
  <c r="E1128" i="4"/>
  <c r="C1128" i="4"/>
  <c r="F1127" i="4"/>
  <c r="E1127" i="4"/>
  <c r="C1127" i="4"/>
  <c r="F1126" i="4"/>
  <c r="E1126" i="4"/>
  <c r="C1126" i="4"/>
  <c r="F1125" i="4"/>
  <c r="E1125" i="4"/>
  <c r="C1125" i="4"/>
  <c r="F1124" i="4"/>
  <c r="E1124" i="4"/>
  <c r="C1124" i="4"/>
  <c r="F1123" i="4"/>
  <c r="E1123" i="4"/>
  <c r="C1123" i="4"/>
  <c r="F1122" i="4"/>
  <c r="E1122" i="4"/>
  <c r="C1122" i="4"/>
  <c r="F1121" i="4"/>
  <c r="E1121" i="4"/>
  <c r="C1121" i="4"/>
  <c r="F1120" i="4"/>
  <c r="E1120" i="4"/>
  <c r="C1120" i="4"/>
  <c r="F1119" i="4"/>
  <c r="E1119" i="4"/>
  <c r="C1119" i="4"/>
  <c r="F1118" i="4"/>
  <c r="E1118" i="4"/>
  <c r="C1118" i="4"/>
  <c r="F1117" i="4"/>
  <c r="E1117" i="4"/>
  <c r="C1117" i="4"/>
  <c r="F1116" i="4"/>
  <c r="E1116" i="4"/>
  <c r="C1116" i="4"/>
  <c r="F1115" i="4"/>
  <c r="E1115" i="4"/>
  <c r="C1115" i="4"/>
  <c r="F1114" i="4"/>
  <c r="E1114" i="4"/>
  <c r="C1114" i="4"/>
  <c r="F1113" i="4"/>
  <c r="E1113" i="4"/>
  <c r="C1113" i="4"/>
  <c r="F1112" i="4"/>
  <c r="E1112" i="4"/>
  <c r="C1112" i="4"/>
  <c r="F1111" i="4"/>
  <c r="E1111" i="4"/>
  <c r="C1111" i="4"/>
  <c r="F1110" i="4"/>
  <c r="E1110" i="4"/>
  <c r="C1110" i="4"/>
  <c r="F1109" i="4"/>
  <c r="E1109" i="4"/>
  <c r="C1109" i="4"/>
  <c r="F1108" i="4"/>
  <c r="E1108" i="4"/>
  <c r="C1108" i="4"/>
  <c r="F1107" i="4"/>
  <c r="E1107" i="4"/>
  <c r="C1107" i="4"/>
  <c r="F1106" i="4"/>
  <c r="E1106" i="4"/>
  <c r="C1106" i="4"/>
  <c r="F1105" i="4"/>
  <c r="E1105" i="4"/>
  <c r="C1105" i="4"/>
  <c r="F1104" i="4"/>
  <c r="E1104" i="4"/>
  <c r="C1104" i="4"/>
  <c r="F1103" i="4"/>
  <c r="E1103" i="4"/>
  <c r="C1103" i="4"/>
  <c r="F1102" i="4"/>
  <c r="E1102" i="4"/>
  <c r="C1102" i="4"/>
  <c r="F1101" i="4"/>
  <c r="E1101" i="4"/>
  <c r="C1101" i="4"/>
  <c r="F1100" i="4"/>
  <c r="E1100" i="4"/>
  <c r="C1100" i="4"/>
  <c r="F1099" i="4"/>
  <c r="E1099" i="4"/>
  <c r="C1099" i="4"/>
  <c r="F1098" i="4"/>
  <c r="E1098" i="4"/>
  <c r="C1098" i="4"/>
  <c r="F1097" i="4"/>
  <c r="E1097" i="4"/>
  <c r="C1097" i="4"/>
  <c r="F1096" i="4"/>
  <c r="E1096" i="4"/>
  <c r="C1096" i="4"/>
  <c r="F1095" i="4"/>
  <c r="E1095" i="4"/>
  <c r="C1095" i="4"/>
  <c r="F1094" i="4"/>
  <c r="E1094" i="4"/>
  <c r="C1094" i="4"/>
  <c r="F1093" i="4"/>
  <c r="E1093" i="4"/>
  <c r="C1093" i="4"/>
  <c r="F1092" i="4"/>
  <c r="E1092" i="4"/>
  <c r="C1092" i="4"/>
  <c r="F1091" i="4"/>
  <c r="E1091" i="4"/>
  <c r="C1091" i="4"/>
  <c r="F1090" i="4"/>
  <c r="E1090" i="4"/>
  <c r="C1090" i="4"/>
  <c r="F1089" i="4"/>
  <c r="E1089" i="4"/>
  <c r="C1089" i="4"/>
  <c r="F1088" i="4"/>
  <c r="E1088" i="4"/>
  <c r="C1088" i="4"/>
  <c r="F1087" i="4"/>
  <c r="E1087" i="4"/>
  <c r="C1087" i="4"/>
  <c r="F1086" i="4"/>
  <c r="E1086" i="4"/>
  <c r="C1086" i="4"/>
  <c r="F1085" i="4"/>
  <c r="E1085" i="4"/>
  <c r="C1085" i="4"/>
  <c r="F1084" i="4"/>
  <c r="E1084" i="4"/>
  <c r="C1084" i="4"/>
  <c r="F1083" i="4"/>
  <c r="E1083" i="4"/>
  <c r="C1083" i="4"/>
  <c r="F1082" i="4"/>
  <c r="E1082" i="4"/>
  <c r="C1082" i="4"/>
  <c r="F1081" i="4"/>
  <c r="E1081" i="4"/>
  <c r="C1081" i="4"/>
  <c r="F1080" i="4"/>
  <c r="E1080" i="4"/>
  <c r="C1080" i="4"/>
  <c r="F1079" i="4"/>
  <c r="E1079" i="4"/>
  <c r="C1079" i="4"/>
  <c r="F1078" i="4"/>
  <c r="E1078" i="4"/>
  <c r="C1078" i="4"/>
  <c r="F1077" i="4"/>
  <c r="E1077" i="4"/>
  <c r="C1077" i="4"/>
  <c r="F1076" i="4"/>
  <c r="E1076" i="4"/>
  <c r="C1076" i="4"/>
  <c r="F1075" i="4"/>
  <c r="E1075" i="4"/>
  <c r="C1075" i="4"/>
  <c r="F1074" i="4"/>
  <c r="E1074" i="4"/>
  <c r="C1074" i="4"/>
  <c r="F1073" i="4"/>
  <c r="E1073" i="4"/>
  <c r="C1073" i="4"/>
  <c r="F1072" i="4"/>
  <c r="E1072" i="4"/>
  <c r="C1072" i="4"/>
  <c r="F1071" i="4"/>
  <c r="E1071" i="4"/>
  <c r="C1071" i="4"/>
  <c r="F1070" i="4"/>
  <c r="E1070" i="4"/>
  <c r="C1070" i="4"/>
  <c r="F1069" i="4"/>
  <c r="E1069" i="4"/>
  <c r="C1069" i="4"/>
  <c r="F1068" i="4"/>
  <c r="E1068" i="4"/>
  <c r="C1068" i="4"/>
  <c r="F1067" i="4"/>
  <c r="E1067" i="4"/>
  <c r="C1067" i="4"/>
  <c r="F1066" i="4"/>
  <c r="E1066" i="4"/>
  <c r="C1066" i="4"/>
  <c r="F1065" i="4"/>
  <c r="E1065" i="4"/>
  <c r="C1065" i="4"/>
  <c r="F1064" i="4"/>
  <c r="E1064" i="4"/>
  <c r="C1064" i="4"/>
  <c r="F1063" i="4"/>
  <c r="E1063" i="4"/>
  <c r="C1063" i="4"/>
  <c r="F1062" i="4"/>
  <c r="E1062" i="4"/>
  <c r="C1062" i="4"/>
  <c r="F1061" i="4"/>
  <c r="E1061" i="4"/>
  <c r="C1061" i="4"/>
  <c r="F1060" i="4"/>
  <c r="E1060" i="4"/>
  <c r="C1060" i="4"/>
  <c r="F1059" i="4"/>
  <c r="E1059" i="4"/>
  <c r="C1059" i="4"/>
  <c r="F1058" i="4"/>
  <c r="E1058" i="4"/>
  <c r="C1058" i="4"/>
  <c r="F1057" i="4"/>
  <c r="E1057" i="4"/>
  <c r="C1057" i="4"/>
  <c r="F1056" i="4"/>
  <c r="E1056" i="4"/>
  <c r="C1056" i="4"/>
  <c r="F1055" i="4"/>
  <c r="E1055" i="4"/>
  <c r="C1055" i="4"/>
  <c r="F1054" i="4"/>
  <c r="E1054" i="4"/>
  <c r="C1054" i="4"/>
  <c r="F1053" i="4"/>
  <c r="E1053" i="4"/>
  <c r="C1053" i="4"/>
  <c r="F1052" i="4"/>
  <c r="E1052" i="4"/>
  <c r="C1052" i="4"/>
  <c r="F1051" i="4"/>
  <c r="E1051" i="4"/>
  <c r="C1051" i="4"/>
  <c r="F1050" i="4"/>
  <c r="E1050" i="4"/>
  <c r="C1050" i="4"/>
  <c r="F1049" i="4"/>
  <c r="E1049" i="4"/>
  <c r="C1049" i="4"/>
  <c r="F1048" i="4"/>
  <c r="E1048" i="4"/>
  <c r="C1048" i="4"/>
  <c r="F1047" i="4"/>
  <c r="E1047" i="4"/>
  <c r="C1047" i="4"/>
  <c r="F1046" i="4"/>
  <c r="E1046" i="4"/>
  <c r="C1046" i="4"/>
  <c r="F1045" i="4"/>
  <c r="E1045" i="4"/>
  <c r="C1045" i="4"/>
  <c r="F1044" i="4"/>
  <c r="E1044" i="4"/>
  <c r="C1044" i="4"/>
  <c r="F1043" i="4"/>
  <c r="E1043" i="4"/>
  <c r="C1043" i="4"/>
  <c r="F1042" i="4"/>
  <c r="E1042" i="4"/>
  <c r="C1042" i="4"/>
  <c r="F1041" i="4"/>
  <c r="E1041" i="4"/>
  <c r="C1041" i="4"/>
  <c r="F1040" i="4"/>
  <c r="E1040" i="4"/>
  <c r="C1040" i="4"/>
  <c r="F1039" i="4"/>
  <c r="E1039" i="4"/>
  <c r="C1039" i="4"/>
  <c r="F1038" i="4"/>
  <c r="E1038" i="4"/>
  <c r="C1038" i="4"/>
  <c r="F1037" i="4"/>
  <c r="E1037" i="4"/>
  <c r="C1037" i="4"/>
  <c r="F1036" i="4"/>
  <c r="E1036" i="4"/>
  <c r="C1036" i="4"/>
  <c r="F1035" i="4"/>
  <c r="E1035" i="4"/>
  <c r="C1035" i="4"/>
  <c r="F1034" i="4"/>
  <c r="E1034" i="4"/>
  <c r="C1034" i="4"/>
  <c r="F1033" i="4"/>
  <c r="E1033" i="4"/>
  <c r="C1033" i="4"/>
  <c r="F1032" i="4"/>
  <c r="E1032" i="4"/>
  <c r="C1032" i="4"/>
  <c r="F1031" i="4"/>
  <c r="E1031" i="4"/>
  <c r="C1031" i="4"/>
  <c r="F1030" i="4"/>
  <c r="E1030" i="4"/>
  <c r="C1030" i="4"/>
  <c r="F1029" i="4"/>
  <c r="E1029" i="4"/>
  <c r="C1029" i="4"/>
  <c r="F1028" i="4"/>
  <c r="E1028" i="4"/>
  <c r="C1028" i="4"/>
  <c r="F1027" i="4"/>
  <c r="E1027" i="4"/>
  <c r="C1027" i="4"/>
  <c r="F1026" i="4"/>
  <c r="E1026" i="4"/>
  <c r="C1026" i="4"/>
  <c r="F1025" i="4"/>
  <c r="E1025" i="4"/>
  <c r="C1025" i="4"/>
  <c r="F1024" i="4"/>
  <c r="E1024" i="4"/>
  <c r="C1024" i="4"/>
  <c r="F1023" i="4"/>
  <c r="E1023" i="4"/>
  <c r="C1023" i="4"/>
  <c r="F1022" i="4"/>
  <c r="E1022" i="4"/>
  <c r="C1022" i="4"/>
  <c r="F1021" i="4"/>
  <c r="E1021" i="4"/>
  <c r="C1021" i="4"/>
  <c r="F1020" i="4"/>
  <c r="E1020" i="4"/>
  <c r="C1020" i="4"/>
  <c r="F1019" i="4"/>
  <c r="E1019" i="4"/>
  <c r="C1019" i="4"/>
  <c r="F1018" i="4"/>
  <c r="E1018" i="4"/>
  <c r="C1018" i="4"/>
  <c r="F1017" i="4"/>
  <c r="E1017" i="4"/>
  <c r="C1017" i="4"/>
  <c r="F1016" i="4"/>
  <c r="E1016" i="4"/>
  <c r="C1016" i="4"/>
  <c r="F1015" i="4"/>
  <c r="E1015" i="4"/>
  <c r="C1015" i="4"/>
  <c r="F1014" i="4"/>
  <c r="E1014" i="4"/>
  <c r="C1014" i="4"/>
  <c r="F1013" i="4"/>
  <c r="E1013" i="4"/>
  <c r="C1013" i="4"/>
  <c r="F1012" i="4"/>
  <c r="E1012" i="4"/>
  <c r="C1012" i="4"/>
  <c r="F1011" i="4"/>
  <c r="E1011" i="4"/>
  <c r="C1011" i="4"/>
  <c r="F1010" i="4"/>
  <c r="E1010" i="4"/>
  <c r="C1010" i="4"/>
  <c r="F1009" i="4"/>
  <c r="E1009" i="4"/>
  <c r="C1009" i="4"/>
  <c r="F1008" i="4"/>
  <c r="E1008" i="4"/>
  <c r="C1008" i="4"/>
  <c r="F1007" i="4"/>
  <c r="E1007" i="4"/>
  <c r="C1007" i="4"/>
  <c r="F1006" i="4"/>
  <c r="E1006" i="4"/>
  <c r="C1006" i="4"/>
  <c r="F1005" i="4"/>
  <c r="E1005" i="4"/>
  <c r="C1005" i="4"/>
  <c r="F1004" i="4"/>
  <c r="E1004" i="4"/>
  <c r="C1004" i="4"/>
  <c r="F1003" i="4"/>
  <c r="E1003" i="4"/>
  <c r="C1003" i="4"/>
  <c r="F1002" i="4"/>
  <c r="E1002" i="4"/>
  <c r="C1002" i="4"/>
  <c r="F1001" i="4"/>
  <c r="E1001" i="4"/>
  <c r="C1001" i="4"/>
  <c r="F1000" i="4"/>
  <c r="E1000" i="4"/>
  <c r="C1000" i="4"/>
  <c r="F999" i="4"/>
  <c r="E999" i="4"/>
  <c r="C999" i="4"/>
  <c r="F998" i="4"/>
  <c r="E998" i="4"/>
  <c r="C998" i="4"/>
  <c r="F997" i="4"/>
  <c r="E997" i="4"/>
  <c r="C997" i="4"/>
  <c r="F996" i="4"/>
  <c r="E996" i="4"/>
  <c r="C996" i="4"/>
  <c r="F995" i="4"/>
  <c r="E995" i="4"/>
  <c r="C995" i="4"/>
  <c r="F994" i="4"/>
  <c r="E994" i="4"/>
  <c r="C994" i="4"/>
  <c r="F993" i="4"/>
  <c r="E993" i="4"/>
  <c r="C993" i="4"/>
  <c r="F992" i="4"/>
  <c r="E992" i="4"/>
  <c r="C992" i="4"/>
  <c r="F991" i="4"/>
  <c r="E991" i="4"/>
  <c r="C991" i="4"/>
  <c r="F990" i="4"/>
  <c r="E990" i="4"/>
  <c r="C990" i="4"/>
  <c r="F989" i="4"/>
  <c r="E989" i="4"/>
  <c r="C989" i="4"/>
  <c r="F988" i="4"/>
  <c r="E988" i="4"/>
  <c r="C988" i="4"/>
  <c r="F987" i="4"/>
  <c r="E987" i="4"/>
  <c r="C987" i="4"/>
  <c r="F986" i="4"/>
  <c r="E986" i="4"/>
  <c r="C986" i="4"/>
  <c r="F985" i="4"/>
  <c r="E985" i="4"/>
  <c r="C985" i="4"/>
  <c r="F984" i="4"/>
  <c r="E984" i="4"/>
  <c r="C984" i="4"/>
  <c r="F983" i="4"/>
  <c r="E983" i="4"/>
  <c r="C983" i="4"/>
  <c r="F982" i="4"/>
  <c r="E982" i="4"/>
  <c r="C982" i="4"/>
  <c r="F981" i="4"/>
  <c r="E981" i="4"/>
  <c r="C981" i="4"/>
  <c r="F980" i="4"/>
  <c r="E980" i="4"/>
  <c r="C980" i="4"/>
  <c r="F979" i="4"/>
  <c r="E979" i="4"/>
  <c r="C979" i="4"/>
  <c r="F978" i="4"/>
  <c r="E978" i="4"/>
  <c r="C978" i="4"/>
  <c r="F977" i="4"/>
  <c r="E977" i="4"/>
  <c r="C977" i="4"/>
  <c r="F976" i="4"/>
  <c r="E976" i="4"/>
  <c r="C976" i="4"/>
  <c r="F975" i="4"/>
  <c r="E975" i="4"/>
  <c r="C975" i="4"/>
  <c r="F974" i="4"/>
  <c r="E974" i="4"/>
  <c r="C974" i="4"/>
  <c r="F973" i="4"/>
  <c r="E973" i="4"/>
  <c r="C973" i="4"/>
  <c r="F972" i="4"/>
  <c r="E972" i="4"/>
  <c r="C972" i="4"/>
  <c r="F971" i="4"/>
  <c r="E971" i="4"/>
  <c r="C971" i="4"/>
  <c r="F970" i="4"/>
  <c r="E970" i="4"/>
  <c r="C970" i="4"/>
  <c r="F969" i="4"/>
  <c r="E969" i="4"/>
  <c r="C969" i="4"/>
  <c r="F968" i="4"/>
  <c r="E968" i="4"/>
  <c r="C968" i="4"/>
  <c r="F967" i="4"/>
  <c r="E967" i="4"/>
  <c r="C967" i="4"/>
  <c r="F966" i="4"/>
  <c r="E966" i="4"/>
  <c r="C966" i="4"/>
  <c r="F965" i="4"/>
  <c r="E965" i="4"/>
  <c r="C965" i="4"/>
  <c r="F964" i="4"/>
  <c r="E964" i="4"/>
  <c r="C964" i="4"/>
  <c r="F963" i="4"/>
  <c r="E963" i="4"/>
  <c r="C963" i="4"/>
  <c r="F962" i="4"/>
  <c r="E962" i="4"/>
  <c r="C962" i="4"/>
  <c r="F961" i="4"/>
  <c r="E961" i="4"/>
  <c r="C961" i="4"/>
  <c r="F960" i="4"/>
  <c r="E960" i="4"/>
  <c r="C960" i="4"/>
  <c r="F959" i="4"/>
  <c r="E959" i="4"/>
  <c r="C959" i="4"/>
  <c r="F958" i="4"/>
  <c r="E958" i="4"/>
  <c r="C958" i="4"/>
  <c r="F957" i="4"/>
  <c r="E957" i="4"/>
  <c r="C957" i="4"/>
  <c r="F956" i="4"/>
  <c r="E956" i="4"/>
  <c r="C956" i="4"/>
  <c r="F955" i="4"/>
  <c r="E955" i="4"/>
  <c r="C955" i="4"/>
  <c r="F954" i="4"/>
  <c r="E954" i="4"/>
  <c r="C954" i="4"/>
  <c r="F953" i="4"/>
  <c r="E953" i="4"/>
  <c r="C953" i="4"/>
  <c r="F952" i="4"/>
  <c r="E952" i="4"/>
  <c r="C952" i="4"/>
  <c r="F951" i="4"/>
  <c r="E951" i="4"/>
  <c r="C951" i="4"/>
  <c r="F950" i="4"/>
  <c r="E950" i="4"/>
  <c r="C950" i="4"/>
  <c r="F949" i="4"/>
  <c r="E949" i="4"/>
  <c r="C949" i="4"/>
  <c r="F948" i="4"/>
  <c r="E948" i="4"/>
  <c r="C948" i="4"/>
  <c r="F947" i="4"/>
  <c r="E947" i="4"/>
  <c r="C947" i="4"/>
  <c r="F946" i="4"/>
  <c r="E946" i="4"/>
  <c r="C946" i="4"/>
  <c r="F945" i="4"/>
  <c r="E945" i="4"/>
  <c r="C945" i="4"/>
  <c r="F944" i="4"/>
  <c r="E944" i="4"/>
  <c r="C944" i="4"/>
  <c r="F943" i="4"/>
  <c r="E943" i="4"/>
  <c r="C943" i="4"/>
  <c r="F942" i="4"/>
  <c r="E942" i="4"/>
  <c r="C942" i="4"/>
  <c r="F941" i="4"/>
  <c r="E941" i="4"/>
  <c r="C941" i="4"/>
  <c r="F940" i="4"/>
  <c r="E940" i="4"/>
  <c r="C940" i="4"/>
  <c r="F939" i="4"/>
  <c r="E939" i="4"/>
  <c r="C939" i="4"/>
  <c r="F938" i="4"/>
  <c r="E938" i="4"/>
  <c r="C938" i="4"/>
  <c r="F937" i="4"/>
  <c r="E937" i="4"/>
  <c r="C937" i="4"/>
  <c r="F936" i="4"/>
  <c r="E936" i="4"/>
  <c r="C936" i="4"/>
  <c r="F935" i="4"/>
  <c r="E935" i="4"/>
  <c r="C935" i="4"/>
  <c r="F934" i="4"/>
  <c r="E934" i="4"/>
  <c r="C934" i="4"/>
  <c r="F933" i="4"/>
  <c r="E933" i="4"/>
  <c r="C933" i="4"/>
  <c r="F932" i="4"/>
  <c r="E932" i="4"/>
  <c r="C932" i="4"/>
  <c r="F931" i="4"/>
  <c r="E931" i="4"/>
  <c r="C931" i="4"/>
  <c r="F930" i="4"/>
  <c r="E930" i="4"/>
  <c r="C930" i="4"/>
  <c r="F929" i="4"/>
  <c r="E929" i="4"/>
  <c r="C929" i="4"/>
  <c r="F928" i="4"/>
  <c r="E928" i="4"/>
  <c r="C928" i="4"/>
  <c r="F927" i="4"/>
  <c r="E927" i="4"/>
  <c r="C927" i="4"/>
  <c r="F926" i="4"/>
  <c r="E926" i="4"/>
  <c r="C926" i="4"/>
  <c r="F925" i="4"/>
  <c r="E925" i="4"/>
  <c r="C925" i="4"/>
  <c r="F924" i="4"/>
  <c r="E924" i="4"/>
  <c r="C924" i="4"/>
  <c r="F923" i="4"/>
  <c r="E923" i="4"/>
  <c r="C923" i="4"/>
  <c r="F922" i="4"/>
  <c r="E922" i="4"/>
  <c r="C922" i="4"/>
  <c r="F921" i="4"/>
  <c r="E921" i="4"/>
  <c r="C921" i="4"/>
  <c r="F920" i="4"/>
  <c r="E920" i="4"/>
  <c r="C920" i="4"/>
  <c r="F919" i="4"/>
  <c r="E919" i="4"/>
  <c r="C919" i="4"/>
  <c r="F918" i="4"/>
  <c r="E918" i="4"/>
  <c r="C918" i="4"/>
  <c r="F917" i="4"/>
  <c r="E917" i="4"/>
  <c r="C917" i="4"/>
  <c r="F916" i="4"/>
  <c r="E916" i="4"/>
  <c r="C916" i="4"/>
  <c r="F915" i="4"/>
  <c r="E915" i="4"/>
  <c r="C915" i="4"/>
  <c r="F914" i="4"/>
  <c r="E914" i="4"/>
  <c r="C914" i="4"/>
  <c r="F913" i="4"/>
  <c r="E913" i="4"/>
  <c r="C913" i="4"/>
  <c r="F912" i="4"/>
  <c r="E912" i="4"/>
  <c r="C912" i="4"/>
  <c r="F911" i="4"/>
  <c r="E911" i="4"/>
  <c r="C911" i="4"/>
  <c r="F910" i="4"/>
  <c r="E910" i="4"/>
  <c r="C910" i="4"/>
  <c r="F909" i="4"/>
  <c r="E909" i="4"/>
  <c r="C909" i="4"/>
  <c r="F908" i="4"/>
  <c r="E908" i="4"/>
  <c r="C908" i="4"/>
  <c r="F907" i="4"/>
  <c r="E907" i="4"/>
  <c r="C907" i="4"/>
  <c r="F906" i="4"/>
  <c r="E906" i="4"/>
  <c r="C906" i="4"/>
  <c r="F905" i="4"/>
  <c r="E905" i="4"/>
  <c r="C905" i="4"/>
  <c r="F904" i="4"/>
  <c r="E904" i="4"/>
  <c r="C904" i="4"/>
  <c r="F903" i="4"/>
  <c r="E903" i="4"/>
  <c r="C903" i="4"/>
  <c r="F902" i="4"/>
  <c r="E902" i="4"/>
  <c r="C902" i="4"/>
  <c r="F901" i="4"/>
  <c r="E901" i="4"/>
  <c r="C901" i="4"/>
  <c r="F900" i="4"/>
  <c r="E900" i="4"/>
  <c r="C900" i="4"/>
  <c r="F899" i="4"/>
  <c r="E899" i="4"/>
  <c r="C899" i="4"/>
  <c r="F898" i="4"/>
  <c r="E898" i="4"/>
  <c r="C898" i="4"/>
  <c r="F897" i="4"/>
  <c r="E897" i="4"/>
  <c r="C897" i="4"/>
  <c r="F896" i="4"/>
  <c r="E896" i="4"/>
  <c r="C896" i="4"/>
  <c r="F895" i="4"/>
  <c r="E895" i="4"/>
  <c r="C895" i="4"/>
  <c r="F894" i="4"/>
  <c r="E894" i="4"/>
  <c r="C894" i="4"/>
  <c r="F893" i="4"/>
  <c r="E893" i="4"/>
  <c r="C893" i="4"/>
  <c r="F892" i="4"/>
  <c r="E892" i="4"/>
  <c r="C892" i="4"/>
  <c r="F891" i="4"/>
  <c r="E891" i="4"/>
  <c r="C891" i="4"/>
  <c r="F890" i="4"/>
  <c r="E890" i="4"/>
  <c r="C890" i="4"/>
  <c r="F889" i="4"/>
  <c r="E889" i="4"/>
  <c r="C889" i="4"/>
  <c r="F888" i="4"/>
  <c r="E888" i="4"/>
  <c r="C888" i="4"/>
  <c r="F887" i="4"/>
  <c r="E887" i="4"/>
  <c r="C887" i="4"/>
  <c r="F886" i="4"/>
  <c r="E886" i="4"/>
  <c r="C886" i="4"/>
  <c r="F885" i="4"/>
  <c r="E885" i="4"/>
  <c r="C885" i="4"/>
  <c r="F884" i="4"/>
  <c r="E884" i="4"/>
  <c r="C884" i="4"/>
  <c r="F883" i="4"/>
  <c r="E883" i="4"/>
  <c r="C883" i="4"/>
  <c r="F882" i="4"/>
  <c r="E882" i="4"/>
  <c r="C882" i="4"/>
  <c r="F881" i="4"/>
  <c r="E881" i="4"/>
  <c r="C881" i="4"/>
  <c r="F880" i="4"/>
  <c r="E880" i="4"/>
  <c r="C880" i="4"/>
  <c r="F879" i="4"/>
  <c r="E879" i="4"/>
  <c r="C879" i="4"/>
  <c r="F878" i="4"/>
  <c r="E878" i="4"/>
  <c r="C878" i="4"/>
  <c r="F877" i="4"/>
  <c r="E877" i="4"/>
  <c r="C877" i="4"/>
  <c r="F876" i="4"/>
  <c r="E876" i="4"/>
  <c r="C876" i="4"/>
  <c r="F875" i="4"/>
  <c r="E875" i="4"/>
  <c r="C875" i="4"/>
  <c r="F874" i="4"/>
  <c r="E874" i="4"/>
  <c r="C874" i="4"/>
  <c r="F873" i="4"/>
  <c r="E873" i="4"/>
  <c r="C873" i="4"/>
  <c r="F872" i="4"/>
  <c r="E872" i="4"/>
  <c r="C872" i="4"/>
  <c r="F871" i="4"/>
  <c r="E871" i="4"/>
  <c r="C871" i="4"/>
  <c r="F870" i="4"/>
  <c r="E870" i="4"/>
  <c r="C870" i="4"/>
  <c r="F869" i="4"/>
  <c r="E869" i="4"/>
  <c r="C869" i="4"/>
  <c r="F868" i="4"/>
  <c r="E868" i="4"/>
  <c r="C868" i="4"/>
  <c r="F867" i="4"/>
  <c r="E867" i="4"/>
  <c r="C867" i="4"/>
  <c r="F866" i="4"/>
  <c r="E866" i="4"/>
  <c r="C866" i="4"/>
  <c r="F865" i="4"/>
  <c r="E865" i="4"/>
  <c r="C865" i="4"/>
  <c r="F864" i="4"/>
  <c r="E864" i="4"/>
  <c r="C864" i="4"/>
  <c r="F863" i="4"/>
  <c r="E863" i="4"/>
  <c r="C863" i="4"/>
  <c r="F862" i="4"/>
  <c r="E862" i="4"/>
  <c r="C862" i="4"/>
  <c r="F861" i="4"/>
  <c r="E861" i="4"/>
  <c r="C861" i="4"/>
  <c r="F860" i="4"/>
  <c r="E860" i="4"/>
  <c r="C860" i="4"/>
  <c r="F859" i="4"/>
  <c r="E859" i="4"/>
  <c r="C859" i="4"/>
  <c r="F858" i="4"/>
  <c r="E858" i="4"/>
  <c r="C858" i="4"/>
  <c r="F857" i="4"/>
  <c r="E857" i="4"/>
  <c r="C857" i="4"/>
  <c r="F856" i="4"/>
  <c r="E856" i="4"/>
  <c r="C856" i="4"/>
  <c r="F855" i="4"/>
  <c r="E855" i="4"/>
  <c r="C855" i="4"/>
  <c r="F854" i="4"/>
  <c r="E854" i="4"/>
  <c r="C854" i="4"/>
  <c r="F853" i="4"/>
  <c r="E853" i="4"/>
  <c r="C853" i="4"/>
  <c r="F852" i="4"/>
  <c r="E852" i="4"/>
  <c r="C852" i="4"/>
  <c r="F851" i="4"/>
  <c r="E851" i="4"/>
  <c r="C851" i="4"/>
  <c r="F850" i="4"/>
  <c r="E850" i="4"/>
  <c r="C850" i="4"/>
  <c r="F849" i="4"/>
  <c r="E849" i="4"/>
  <c r="C849" i="4"/>
  <c r="F848" i="4"/>
  <c r="E848" i="4"/>
  <c r="C848" i="4"/>
  <c r="F847" i="4"/>
  <c r="E847" i="4"/>
  <c r="C847" i="4"/>
  <c r="F846" i="4"/>
  <c r="E846" i="4"/>
  <c r="C846" i="4"/>
  <c r="F845" i="4"/>
  <c r="E845" i="4"/>
  <c r="C845" i="4"/>
  <c r="F844" i="4"/>
  <c r="E844" i="4"/>
  <c r="C844" i="4"/>
  <c r="F843" i="4"/>
  <c r="E843" i="4"/>
  <c r="C843" i="4"/>
  <c r="F842" i="4"/>
  <c r="E842" i="4"/>
  <c r="C842" i="4"/>
  <c r="F841" i="4"/>
  <c r="E841" i="4"/>
  <c r="C841" i="4"/>
  <c r="F840" i="4"/>
  <c r="E840" i="4"/>
  <c r="C840" i="4"/>
  <c r="F839" i="4"/>
  <c r="E839" i="4"/>
  <c r="C839" i="4"/>
  <c r="F838" i="4"/>
  <c r="E838" i="4"/>
  <c r="C838" i="4"/>
  <c r="F837" i="4"/>
  <c r="E837" i="4"/>
  <c r="C837" i="4"/>
  <c r="F836" i="4"/>
  <c r="E836" i="4"/>
  <c r="C836" i="4"/>
  <c r="F835" i="4"/>
  <c r="E835" i="4"/>
  <c r="C835" i="4"/>
  <c r="F834" i="4"/>
  <c r="E834" i="4"/>
  <c r="C834" i="4"/>
  <c r="F833" i="4"/>
  <c r="E833" i="4"/>
  <c r="C833" i="4"/>
  <c r="F832" i="4"/>
  <c r="E832" i="4"/>
  <c r="C832" i="4"/>
  <c r="F831" i="4"/>
  <c r="E831" i="4"/>
  <c r="C831" i="4"/>
  <c r="F830" i="4"/>
  <c r="E830" i="4"/>
  <c r="C830" i="4"/>
  <c r="F829" i="4"/>
  <c r="E829" i="4"/>
  <c r="C829" i="4"/>
  <c r="F828" i="4"/>
  <c r="E828" i="4"/>
  <c r="C828" i="4"/>
  <c r="F827" i="4"/>
  <c r="E827" i="4"/>
  <c r="C827" i="4"/>
  <c r="F826" i="4"/>
  <c r="E826" i="4"/>
  <c r="C826" i="4"/>
  <c r="F825" i="4"/>
  <c r="E825" i="4"/>
  <c r="C825" i="4"/>
  <c r="F824" i="4"/>
  <c r="E824" i="4"/>
  <c r="C824" i="4"/>
  <c r="F823" i="4"/>
  <c r="E823" i="4"/>
  <c r="C823" i="4"/>
  <c r="F822" i="4"/>
  <c r="E822" i="4"/>
  <c r="C822" i="4"/>
  <c r="F821" i="4"/>
  <c r="E821" i="4"/>
  <c r="C821" i="4"/>
  <c r="F820" i="4"/>
  <c r="E820" i="4"/>
  <c r="C820" i="4"/>
  <c r="F819" i="4"/>
  <c r="E819" i="4"/>
  <c r="C819" i="4"/>
  <c r="F818" i="4"/>
  <c r="E818" i="4"/>
  <c r="C818" i="4"/>
  <c r="F817" i="4"/>
  <c r="E817" i="4"/>
  <c r="C817" i="4"/>
  <c r="F816" i="4"/>
  <c r="E816" i="4"/>
  <c r="C816" i="4"/>
  <c r="F815" i="4"/>
  <c r="E815" i="4"/>
  <c r="C815" i="4"/>
  <c r="F814" i="4"/>
  <c r="E814" i="4"/>
  <c r="C814" i="4"/>
  <c r="F813" i="4"/>
  <c r="E813" i="4"/>
  <c r="C813" i="4"/>
  <c r="F812" i="4"/>
  <c r="E812" i="4"/>
  <c r="C812" i="4"/>
  <c r="F811" i="4"/>
  <c r="E811" i="4"/>
  <c r="C811" i="4"/>
  <c r="F810" i="4"/>
  <c r="E810" i="4"/>
  <c r="C810" i="4"/>
  <c r="F809" i="4"/>
  <c r="E809" i="4"/>
  <c r="C809" i="4"/>
  <c r="F808" i="4"/>
  <c r="E808" i="4"/>
  <c r="C808" i="4"/>
  <c r="F807" i="4"/>
  <c r="E807" i="4"/>
  <c r="C807" i="4"/>
  <c r="F806" i="4"/>
  <c r="E806" i="4"/>
  <c r="C806" i="4"/>
  <c r="F805" i="4"/>
  <c r="E805" i="4"/>
  <c r="C805" i="4"/>
  <c r="F804" i="4"/>
  <c r="E804" i="4"/>
  <c r="C804" i="4"/>
  <c r="F803" i="4"/>
  <c r="E803" i="4"/>
  <c r="C803" i="4"/>
  <c r="F802" i="4"/>
  <c r="E802" i="4"/>
  <c r="C802" i="4"/>
  <c r="F801" i="4"/>
  <c r="E801" i="4"/>
  <c r="C801" i="4"/>
  <c r="F800" i="4"/>
  <c r="E800" i="4"/>
  <c r="C800" i="4"/>
  <c r="F799" i="4"/>
  <c r="E799" i="4"/>
  <c r="C799" i="4"/>
  <c r="F798" i="4"/>
  <c r="E798" i="4"/>
  <c r="C798" i="4"/>
  <c r="F797" i="4"/>
  <c r="E797" i="4"/>
  <c r="C797" i="4"/>
  <c r="F796" i="4"/>
  <c r="E796" i="4"/>
  <c r="C796" i="4"/>
  <c r="F795" i="4"/>
  <c r="E795" i="4"/>
  <c r="C795" i="4"/>
  <c r="F794" i="4"/>
  <c r="E794" i="4"/>
  <c r="C794" i="4"/>
  <c r="F793" i="4"/>
  <c r="E793" i="4"/>
  <c r="C793" i="4"/>
  <c r="F792" i="4"/>
  <c r="E792" i="4"/>
  <c r="C792" i="4"/>
  <c r="F791" i="4"/>
  <c r="E791" i="4"/>
  <c r="C791" i="4"/>
  <c r="F790" i="4"/>
  <c r="E790" i="4"/>
  <c r="C790" i="4"/>
  <c r="F789" i="4"/>
  <c r="E789" i="4"/>
  <c r="C789" i="4"/>
  <c r="F788" i="4"/>
  <c r="E788" i="4"/>
  <c r="C788" i="4"/>
  <c r="F787" i="4"/>
  <c r="E787" i="4"/>
  <c r="C787" i="4"/>
  <c r="F786" i="4"/>
  <c r="E786" i="4"/>
  <c r="C786" i="4"/>
  <c r="F785" i="4"/>
  <c r="E785" i="4"/>
  <c r="C785" i="4"/>
  <c r="F784" i="4"/>
  <c r="E784" i="4"/>
  <c r="C784" i="4"/>
  <c r="F783" i="4"/>
  <c r="E783" i="4"/>
  <c r="C783" i="4"/>
  <c r="F782" i="4"/>
  <c r="E782" i="4"/>
  <c r="C782" i="4"/>
  <c r="F781" i="4"/>
  <c r="E781" i="4"/>
  <c r="C781" i="4"/>
  <c r="F780" i="4"/>
  <c r="E780" i="4"/>
  <c r="C780" i="4"/>
  <c r="F779" i="4"/>
  <c r="E779" i="4"/>
  <c r="C779" i="4"/>
  <c r="F778" i="4"/>
  <c r="E778" i="4"/>
  <c r="C778" i="4"/>
  <c r="F777" i="4"/>
  <c r="E777" i="4"/>
  <c r="C777" i="4"/>
  <c r="F776" i="4"/>
  <c r="E776" i="4"/>
  <c r="C776" i="4"/>
  <c r="F775" i="4"/>
  <c r="E775" i="4"/>
  <c r="C775" i="4"/>
  <c r="F774" i="4"/>
  <c r="E774" i="4"/>
  <c r="C774" i="4"/>
  <c r="F773" i="4"/>
  <c r="E773" i="4"/>
  <c r="C773" i="4"/>
  <c r="F772" i="4"/>
  <c r="E772" i="4"/>
  <c r="C772" i="4"/>
  <c r="F771" i="4"/>
  <c r="E771" i="4"/>
  <c r="C771" i="4"/>
  <c r="F770" i="4"/>
  <c r="E770" i="4"/>
  <c r="C770" i="4"/>
  <c r="F769" i="4"/>
  <c r="E769" i="4"/>
  <c r="C769" i="4"/>
  <c r="F768" i="4"/>
  <c r="E768" i="4"/>
  <c r="C768" i="4"/>
  <c r="F767" i="4"/>
  <c r="E767" i="4"/>
  <c r="C767" i="4"/>
  <c r="F766" i="4"/>
  <c r="E766" i="4"/>
  <c r="C766" i="4"/>
  <c r="F765" i="4"/>
  <c r="E765" i="4"/>
  <c r="C765" i="4"/>
  <c r="F764" i="4"/>
  <c r="E764" i="4"/>
  <c r="C764" i="4"/>
  <c r="F763" i="4"/>
  <c r="E763" i="4"/>
  <c r="C763" i="4"/>
  <c r="F762" i="4"/>
  <c r="E762" i="4"/>
  <c r="C762" i="4"/>
  <c r="F761" i="4"/>
  <c r="E761" i="4"/>
  <c r="C761" i="4"/>
  <c r="F760" i="4"/>
  <c r="E760" i="4"/>
  <c r="C760" i="4"/>
  <c r="F759" i="4"/>
  <c r="E759" i="4"/>
  <c r="C759" i="4"/>
  <c r="F758" i="4"/>
  <c r="E758" i="4"/>
  <c r="C758" i="4"/>
  <c r="F757" i="4"/>
  <c r="E757" i="4"/>
  <c r="C757" i="4"/>
  <c r="F756" i="4"/>
  <c r="E756" i="4"/>
  <c r="C756" i="4"/>
  <c r="F755" i="4"/>
  <c r="E755" i="4"/>
  <c r="C755" i="4"/>
  <c r="F754" i="4"/>
  <c r="E754" i="4"/>
  <c r="C754" i="4"/>
  <c r="F753" i="4"/>
  <c r="E753" i="4"/>
  <c r="C753" i="4"/>
  <c r="F752" i="4"/>
  <c r="E752" i="4"/>
  <c r="C752" i="4"/>
  <c r="F751" i="4"/>
  <c r="E751" i="4"/>
  <c r="C751" i="4"/>
  <c r="F750" i="4"/>
  <c r="E750" i="4"/>
  <c r="C750" i="4"/>
  <c r="F749" i="4"/>
  <c r="E749" i="4"/>
  <c r="C749" i="4"/>
  <c r="F748" i="4"/>
  <c r="E748" i="4"/>
  <c r="C748" i="4"/>
  <c r="F747" i="4"/>
  <c r="E747" i="4"/>
  <c r="C747" i="4"/>
  <c r="F746" i="4"/>
  <c r="E746" i="4"/>
  <c r="C746" i="4"/>
  <c r="F745" i="4"/>
  <c r="E745" i="4"/>
  <c r="C745" i="4"/>
  <c r="F744" i="4"/>
  <c r="E744" i="4"/>
  <c r="C744" i="4"/>
  <c r="F743" i="4"/>
  <c r="E743" i="4"/>
  <c r="C743" i="4"/>
  <c r="F742" i="4"/>
  <c r="E742" i="4"/>
  <c r="C742" i="4"/>
  <c r="F741" i="4"/>
  <c r="E741" i="4"/>
  <c r="C741" i="4"/>
  <c r="F740" i="4"/>
  <c r="E740" i="4"/>
  <c r="C740" i="4"/>
  <c r="F739" i="4"/>
  <c r="E739" i="4"/>
  <c r="C739" i="4"/>
  <c r="F738" i="4"/>
  <c r="E738" i="4"/>
  <c r="C738" i="4"/>
  <c r="F737" i="4"/>
  <c r="E737" i="4"/>
  <c r="C737" i="4"/>
  <c r="F736" i="4"/>
  <c r="E736" i="4"/>
  <c r="C736" i="4"/>
  <c r="F735" i="4"/>
  <c r="E735" i="4"/>
  <c r="C735" i="4"/>
  <c r="F734" i="4"/>
  <c r="E734" i="4"/>
  <c r="C734" i="4"/>
  <c r="F733" i="4"/>
  <c r="E733" i="4"/>
  <c r="C733" i="4"/>
  <c r="F732" i="4"/>
  <c r="E732" i="4"/>
  <c r="C732" i="4"/>
  <c r="F731" i="4"/>
  <c r="E731" i="4"/>
  <c r="C731" i="4"/>
  <c r="F730" i="4"/>
  <c r="E730" i="4"/>
  <c r="C730" i="4"/>
  <c r="F729" i="4"/>
  <c r="E729" i="4"/>
  <c r="C729" i="4"/>
  <c r="F728" i="4"/>
  <c r="E728" i="4"/>
  <c r="C728" i="4"/>
  <c r="F727" i="4"/>
  <c r="E727" i="4"/>
  <c r="C727" i="4"/>
  <c r="F726" i="4"/>
  <c r="E726" i="4"/>
  <c r="C726" i="4"/>
  <c r="F725" i="4"/>
  <c r="E725" i="4"/>
  <c r="C725" i="4"/>
  <c r="F724" i="4"/>
  <c r="E724" i="4"/>
  <c r="C724" i="4"/>
  <c r="F723" i="4"/>
  <c r="E723" i="4"/>
  <c r="C723" i="4"/>
  <c r="F722" i="4"/>
  <c r="E722" i="4"/>
  <c r="C722" i="4"/>
  <c r="F721" i="4"/>
  <c r="E721" i="4"/>
  <c r="C721" i="4"/>
  <c r="F720" i="4"/>
  <c r="E720" i="4"/>
  <c r="C720" i="4"/>
  <c r="F719" i="4"/>
  <c r="E719" i="4"/>
  <c r="C719" i="4"/>
  <c r="F718" i="4"/>
  <c r="E718" i="4"/>
  <c r="C718" i="4"/>
  <c r="F717" i="4"/>
  <c r="E717" i="4"/>
  <c r="C717" i="4"/>
  <c r="F716" i="4"/>
  <c r="E716" i="4"/>
  <c r="C716" i="4"/>
  <c r="F715" i="4"/>
  <c r="E715" i="4"/>
  <c r="C715" i="4"/>
  <c r="F714" i="4"/>
  <c r="E714" i="4"/>
  <c r="C714" i="4"/>
  <c r="F713" i="4"/>
  <c r="E713" i="4"/>
  <c r="C713" i="4"/>
  <c r="F712" i="4"/>
  <c r="E712" i="4"/>
  <c r="C712" i="4"/>
  <c r="F711" i="4"/>
  <c r="E711" i="4"/>
  <c r="C711" i="4"/>
  <c r="F710" i="4"/>
  <c r="E710" i="4"/>
  <c r="C710" i="4"/>
  <c r="F709" i="4"/>
  <c r="E709" i="4"/>
  <c r="C709" i="4"/>
  <c r="F708" i="4"/>
  <c r="E708" i="4"/>
  <c r="C708" i="4"/>
  <c r="F707" i="4"/>
  <c r="E707" i="4"/>
  <c r="C707" i="4"/>
  <c r="F706" i="4"/>
  <c r="E706" i="4"/>
  <c r="C706" i="4"/>
  <c r="F705" i="4"/>
  <c r="E705" i="4"/>
  <c r="C705" i="4"/>
  <c r="F704" i="4"/>
  <c r="E704" i="4"/>
  <c r="C704" i="4"/>
  <c r="F703" i="4"/>
  <c r="E703" i="4"/>
  <c r="C703" i="4"/>
  <c r="F702" i="4"/>
  <c r="E702" i="4"/>
  <c r="C702" i="4"/>
  <c r="F701" i="4"/>
  <c r="E701" i="4"/>
  <c r="C701" i="4"/>
  <c r="F700" i="4"/>
  <c r="E700" i="4"/>
  <c r="C700" i="4"/>
  <c r="F699" i="4"/>
  <c r="E699" i="4"/>
  <c r="C699" i="4"/>
  <c r="F698" i="4"/>
  <c r="E698" i="4"/>
  <c r="C698" i="4"/>
  <c r="F697" i="4"/>
  <c r="E697" i="4"/>
  <c r="C697" i="4"/>
  <c r="F696" i="4"/>
  <c r="E696" i="4"/>
  <c r="C696" i="4"/>
  <c r="F695" i="4"/>
  <c r="E695" i="4"/>
  <c r="C695" i="4"/>
  <c r="F694" i="4"/>
  <c r="E694" i="4"/>
  <c r="C694" i="4"/>
  <c r="F693" i="4"/>
  <c r="E693" i="4"/>
  <c r="C693" i="4"/>
  <c r="F692" i="4"/>
  <c r="E692" i="4"/>
  <c r="C692" i="4"/>
  <c r="F691" i="4"/>
  <c r="E691" i="4"/>
  <c r="C691" i="4"/>
  <c r="F690" i="4"/>
  <c r="E690" i="4"/>
  <c r="C690" i="4"/>
  <c r="F689" i="4"/>
  <c r="E689" i="4"/>
  <c r="C689" i="4"/>
  <c r="F688" i="4"/>
  <c r="E688" i="4"/>
  <c r="C688" i="4"/>
  <c r="F687" i="4"/>
  <c r="E687" i="4"/>
  <c r="C687" i="4"/>
  <c r="F686" i="4"/>
  <c r="E686" i="4"/>
  <c r="C686" i="4"/>
  <c r="F685" i="4"/>
  <c r="E685" i="4"/>
  <c r="C685" i="4"/>
  <c r="F684" i="4"/>
  <c r="E684" i="4"/>
  <c r="C684" i="4"/>
  <c r="F683" i="4"/>
  <c r="E683" i="4"/>
  <c r="C683" i="4"/>
  <c r="F682" i="4"/>
  <c r="E682" i="4"/>
  <c r="C682" i="4"/>
  <c r="F681" i="4"/>
  <c r="E681" i="4"/>
  <c r="C681" i="4"/>
  <c r="F680" i="4"/>
  <c r="E680" i="4"/>
  <c r="C680" i="4"/>
  <c r="F679" i="4"/>
  <c r="E679" i="4"/>
  <c r="C679" i="4"/>
  <c r="F678" i="4"/>
  <c r="E678" i="4"/>
  <c r="C678" i="4"/>
  <c r="F677" i="4"/>
  <c r="E677" i="4"/>
  <c r="C677" i="4"/>
  <c r="F676" i="4"/>
  <c r="E676" i="4"/>
  <c r="C676" i="4"/>
  <c r="F675" i="4"/>
  <c r="E675" i="4"/>
  <c r="C675" i="4"/>
  <c r="F674" i="4"/>
  <c r="E674" i="4"/>
  <c r="C674" i="4"/>
  <c r="F673" i="4"/>
  <c r="E673" i="4"/>
  <c r="C673" i="4"/>
  <c r="F672" i="4"/>
  <c r="E672" i="4"/>
  <c r="C672" i="4"/>
  <c r="F671" i="4"/>
  <c r="E671" i="4"/>
  <c r="C671" i="4"/>
  <c r="F670" i="4"/>
  <c r="E670" i="4"/>
  <c r="C670" i="4"/>
  <c r="F669" i="4"/>
  <c r="E669" i="4"/>
  <c r="C669" i="4"/>
  <c r="F668" i="4"/>
  <c r="E668" i="4"/>
  <c r="C668" i="4"/>
  <c r="F667" i="4"/>
  <c r="E667" i="4"/>
  <c r="C667" i="4"/>
  <c r="F666" i="4"/>
  <c r="E666" i="4"/>
  <c r="C666" i="4"/>
  <c r="F665" i="4"/>
  <c r="E665" i="4"/>
  <c r="C665" i="4"/>
  <c r="F664" i="4"/>
  <c r="E664" i="4"/>
  <c r="C664" i="4"/>
  <c r="F663" i="4"/>
  <c r="E663" i="4"/>
  <c r="C663" i="4"/>
  <c r="F662" i="4"/>
  <c r="E662" i="4"/>
  <c r="C662" i="4"/>
  <c r="F661" i="4"/>
  <c r="E661" i="4"/>
  <c r="C661" i="4"/>
  <c r="F660" i="4"/>
  <c r="E660" i="4"/>
  <c r="C660" i="4"/>
  <c r="F659" i="4"/>
  <c r="E659" i="4"/>
  <c r="C659" i="4"/>
  <c r="F658" i="4"/>
  <c r="E658" i="4"/>
  <c r="C658" i="4"/>
  <c r="F657" i="4"/>
  <c r="E657" i="4"/>
  <c r="C657" i="4"/>
  <c r="F656" i="4"/>
  <c r="E656" i="4"/>
  <c r="C656" i="4"/>
  <c r="F655" i="4"/>
  <c r="E655" i="4"/>
  <c r="C655" i="4"/>
  <c r="F654" i="4"/>
  <c r="E654" i="4"/>
  <c r="C654" i="4"/>
  <c r="F653" i="4"/>
  <c r="E653" i="4"/>
  <c r="C653" i="4"/>
  <c r="F652" i="4"/>
  <c r="E652" i="4"/>
  <c r="C652" i="4"/>
  <c r="F651" i="4"/>
  <c r="E651" i="4"/>
  <c r="C651" i="4"/>
  <c r="F650" i="4"/>
  <c r="E650" i="4"/>
  <c r="C650" i="4"/>
  <c r="F649" i="4"/>
  <c r="E649" i="4"/>
  <c r="C649" i="4"/>
  <c r="F648" i="4"/>
  <c r="E648" i="4"/>
  <c r="C648" i="4"/>
  <c r="F647" i="4"/>
  <c r="E647" i="4"/>
  <c r="C647" i="4"/>
  <c r="F646" i="4"/>
  <c r="E646" i="4"/>
  <c r="C646" i="4"/>
  <c r="F645" i="4"/>
  <c r="E645" i="4"/>
  <c r="C645" i="4"/>
  <c r="F644" i="4"/>
  <c r="E644" i="4"/>
  <c r="C644" i="4"/>
  <c r="F643" i="4"/>
  <c r="E643" i="4"/>
  <c r="C643" i="4"/>
  <c r="F642" i="4"/>
  <c r="E642" i="4"/>
  <c r="C642" i="4"/>
  <c r="F641" i="4"/>
  <c r="E641" i="4"/>
  <c r="C641" i="4"/>
  <c r="F640" i="4"/>
  <c r="E640" i="4"/>
  <c r="C640" i="4"/>
  <c r="F639" i="4"/>
  <c r="E639" i="4"/>
  <c r="C639" i="4"/>
  <c r="F638" i="4"/>
  <c r="E638" i="4"/>
  <c r="C638" i="4"/>
  <c r="F637" i="4"/>
  <c r="E637" i="4"/>
  <c r="C637" i="4"/>
  <c r="F636" i="4"/>
  <c r="E636" i="4"/>
  <c r="C636" i="4"/>
  <c r="F635" i="4"/>
  <c r="E635" i="4"/>
  <c r="C635" i="4"/>
  <c r="F634" i="4"/>
  <c r="E634" i="4"/>
  <c r="C634" i="4"/>
  <c r="F633" i="4"/>
  <c r="E633" i="4"/>
  <c r="C633" i="4"/>
  <c r="F632" i="4"/>
  <c r="E632" i="4"/>
  <c r="C632" i="4"/>
  <c r="F631" i="4"/>
  <c r="E631" i="4"/>
  <c r="C631" i="4"/>
  <c r="F630" i="4"/>
  <c r="E630" i="4"/>
  <c r="C630" i="4"/>
  <c r="F629" i="4"/>
  <c r="E629" i="4"/>
  <c r="C629" i="4"/>
  <c r="F628" i="4"/>
  <c r="E628" i="4"/>
  <c r="C628" i="4"/>
  <c r="F627" i="4"/>
  <c r="E627" i="4"/>
  <c r="C627" i="4"/>
  <c r="F626" i="4"/>
  <c r="E626" i="4"/>
  <c r="C626" i="4"/>
  <c r="F625" i="4"/>
  <c r="E625" i="4"/>
  <c r="C625" i="4"/>
  <c r="F624" i="4"/>
  <c r="E624" i="4"/>
  <c r="C624" i="4"/>
  <c r="F623" i="4"/>
  <c r="E623" i="4"/>
  <c r="C623" i="4"/>
  <c r="F622" i="4"/>
  <c r="E622" i="4"/>
  <c r="C622" i="4"/>
  <c r="F621" i="4"/>
  <c r="E621" i="4"/>
  <c r="C621" i="4"/>
  <c r="F620" i="4"/>
  <c r="E620" i="4"/>
  <c r="C620" i="4"/>
  <c r="F619" i="4"/>
  <c r="E619" i="4"/>
  <c r="C619" i="4"/>
  <c r="F618" i="4"/>
  <c r="E618" i="4"/>
  <c r="C618" i="4"/>
  <c r="F617" i="4"/>
  <c r="E617" i="4"/>
  <c r="C617" i="4"/>
  <c r="F616" i="4"/>
  <c r="E616" i="4"/>
  <c r="C616" i="4"/>
  <c r="F615" i="4"/>
  <c r="E615" i="4"/>
  <c r="C615" i="4"/>
  <c r="F614" i="4"/>
  <c r="E614" i="4"/>
  <c r="C614" i="4"/>
  <c r="F613" i="4"/>
  <c r="E613" i="4"/>
  <c r="C613" i="4"/>
  <c r="F612" i="4"/>
  <c r="E612" i="4"/>
  <c r="C612" i="4"/>
  <c r="F611" i="4"/>
  <c r="E611" i="4"/>
  <c r="C611" i="4"/>
  <c r="F610" i="4"/>
  <c r="E610" i="4"/>
  <c r="C610" i="4"/>
  <c r="F609" i="4"/>
  <c r="E609" i="4"/>
  <c r="C609" i="4"/>
  <c r="F608" i="4"/>
  <c r="E608" i="4"/>
  <c r="C608" i="4"/>
  <c r="F607" i="4"/>
  <c r="E607" i="4"/>
  <c r="C607" i="4"/>
  <c r="F606" i="4"/>
  <c r="E606" i="4"/>
  <c r="C606" i="4"/>
  <c r="F605" i="4"/>
  <c r="E605" i="4"/>
  <c r="C605" i="4"/>
  <c r="F604" i="4"/>
  <c r="E604" i="4"/>
  <c r="C604" i="4"/>
  <c r="F603" i="4"/>
  <c r="E603" i="4"/>
  <c r="C603" i="4"/>
  <c r="F602" i="4"/>
  <c r="E602" i="4"/>
  <c r="C602" i="4"/>
  <c r="F601" i="4"/>
  <c r="E601" i="4"/>
  <c r="C601" i="4"/>
  <c r="F600" i="4"/>
  <c r="E600" i="4"/>
  <c r="C600" i="4"/>
  <c r="F599" i="4"/>
  <c r="E599" i="4"/>
  <c r="C599" i="4"/>
  <c r="F598" i="4"/>
  <c r="E598" i="4"/>
  <c r="C598" i="4"/>
  <c r="F597" i="4"/>
  <c r="E597" i="4"/>
  <c r="C597" i="4"/>
  <c r="F596" i="4"/>
  <c r="E596" i="4"/>
  <c r="C596" i="4"/>
  <c r="F595" i="4"/>
  <c r="E595" i="4"/>
  <c r="C595" i="4"/>
  <c r="F594" i="4"/>
  <c r="E594" i="4"/>
  <c r="C594" i="4"/>
  <c r="F593" i="4"/>
  <c r="E593" i="4"/>
  <c r="C593" i="4"/>
  <c r="F592" i="4"/>
  <c r="E592" i="4"/>
  <c r="C592" i="4"/>
  <c r="F591" i="4"/>
  <c r="E591" i="4"/>
  <c r="C591" i="4"/>
  <c r="F590" i="4"/>
  <c r="E590" i="4"/>
  <c r="C590" i="4"/>
  <c r="F589" i="4"/>
  <c r="E589" i="4"/>
  <c r="C589" i="4"/>
  <c r="F588" i="4"/>
  <c r="E588" i="4"/>
  <c r="C588" i="4"/>
  <c r="F587" i="4"/>
  <c r="E587" i="4"/>
  <c r="C587" i="4"/>
  <c r="F586" i="4"/>
  <c r="E586" i="4"/>
  <c r="C586" i="4"/>
  <c r="F585" i="4"/>
  <c r="E585" i="4"/>
  <c r="C585" i="4"/>
  <c r="F584" i="4"/>
  <c r="E584" i="4"/>
  <c r="C584" i="4"/>
  <c r="F583" i="4"/>
  <c r="E583" i="4"/>
  <c r="C583" i="4"/>
  <c r="F582" i="4"/>
  <c r="E582" i="4"/>
  <c r="C582" i="4"/>
  <c r="F581" i="4"/>
  <c r="E581" i="4"/>
  <c r="C581" i="4"/>
  <c r="F580" i="4"/>
  <c r="E580" i="4"/>
  <c r="C580" i="4"/>
  <c r="F579" i="4"/>
  <c r="E579" i="4"/>
  <c r="C579" i="4"/>
  <c r="F578" i="4"/>
  <c r="E578" i="4"/>
  <c r="C578" i="4"/>
  <c r="F577" i="4"/>
  <c r="E577" i="4"/>
  <c r="C577" i="4"/>
  <c r="F576" i="4"/>
  <c r="E576" i="4"/>
  <c r="C576" i="4"/>
  <c r="F575" i="4"/>
  <c r="E575" i="4"/>
  <c r="C575" i="4"/>
  <c r="F574" i="4"/>
  <c r="E574" i="4"/>
  <c r="C574" i="4"/>
  <c r="F573" i="4"/>
  <c r="E573" i="4"/>
  <c r="C573" i="4"/>
  <c r="F572" i="4"/>
  <c r="E572" i="4"/>
  <c r="C572" i="4"/>
  <c r="F571" i="4"/>
  <c r="E571" i="4"/>
  <c r="C571" i="4"/>
  <c r="F570" i="4"/>
  <c r="E570" i="4"/>
  <c r="C570" i="4"/>
  <c r="F569" i="4"/>
  <c r="E569" i="4"/>
  <c r="C569" i="4"/>
  <c r="F568" i="4"/>
  <c r="E568" i="4"/>
  <c r="C568" i="4"/>
  <c r="F567" i="4"/>
  <c r="E567" i="4"/>
  <c r="C567" i="4"/>
  <c r="F566" i="4"/>
  <c r="E566" i="4"/>
  <c r="C566" i="4"/>
  <c r="F565" i="4"/>
  <c r="E565" i="4"/>
  <c r="C565" i="4"/>
  <c r="F564" i="4"/>
  <c r="E564" i="4"/>
  <c r="C564" i="4"/>
  <c r="F563" i="4"/>
  <c r="E563" i="4"/>
  <c r="C563" i="4"/>
  <c r="F562" i="4"/>
  <c r="E562" i="4"/>
  <c r="C562" i="4"/>
  <c r="F561" i="4"/>
  <c r="E561" i="4"/>
  <c r="C561" i="4"/>
  <c r="F560" i="4"/>
  <c r="E560" i="4"/>
  <c r="C560" i="4"/>
  <c r="F559" i="4"/>
  <c r="E559" i="4"/>
  <c r="C559" i="4"/>
  <c r="F558" i="4"/>
  <c r="E558" i="4"/>
  <c r="C558" i="4"/>
  <c r="F557" i="4"/>
  <c r="E557" i="4"/>
  <c r="C557" i="4"/>
  <c r="F556" i="4"/>
  <c r="E556" i="4"/>
  <c r="C556" i="4"/>
  <c r="F555" i="4"/>
  <c r="E555" i="4"/>
  <c r="C555" i="4"/>
  <c r="F554" i="4"/>
  <c r="E554" i="4"/>
  <c r="C554" i="4"/>
  <c r="F553" i="4"/>
  <c r="E553" i="4"/>
  <c r="C553" i="4"/>
  <c r="F552" i="4"/>
  <c r="E552" i="4"/>
  <c r="C552" i="4"/>
  <c r="F551" i="4"/>
  <c r="E551" i="4"/>
  <c r="C551" i="4"/>
  <c r="F550" i="4"/>
  <c r="E550" i="4"/>
  <c r="C550" i="4"/>
  <c r="F549" i="4"/>
  <c r="E549" i="4"/>
  <c r="C549" i="4"/>
  <c r="F548" i="4"/>
  <c r="E548" i="4"/>
  <c r="C548" i="4"/>
  <c r="F547" i="4"/>
  <c r="E547" i="4"/>
  <c r="C547" i="4"/>
  <c r="F546" i="4"/>
  <c r="E546" i="4"/>
  <c r="C546" i="4"/>
  <c r="F545" i="4"/>
  <c r="E545" i="4"/>
  <c r="C545" i="4"/>
  <c r="F544" i="4"/>
  <c r="E544" i="4"/>
  <c r="C544" i="4"/>
  <c r="F543" i="4"/>
  <c r="E543" i="4"/>
  <c r="C543" i="4"/>
  <c r="F542" i="4"/>
  <c r="E542" i="4"/>
  <c r="C542" i="4"/>
  <c r="F541" i="4"/>
  <c r="E541" i="4"/>
  <c r="C541" i="4"/>
  <c r="F540" i="4"/>
  <c r="E540" i="4"/>
  <c r="C540" i="4"/>
  <c r="F539" i="4"/>
  <c r="E539" i="4"/>
  <c r="C539" i="4"/>
  <c r="F538" i="4"/>
  <c r="E538" i="4"/>
  <c r="C538" i="4"/>
  <c r="F537" i="4"/>
  <c r="E537" i="4"/>
  <c r="C537" i="4"/>
  <c r="F536" i="4"/>
  <c r="E536" i="4"/>
  <c r="C536" i="4"/>
  <c r="F535" i="4"/>
  <c r="E535" i="4"/>
  <c r="C535" i="4"/>
  <c r="F534" i="4"/>
  <c r="E534" i="4"/>
  <c r="C534" i="4"/>
  <c r="F533" i="4"/>
  <c r="E533" i="4"/>
  <c r="C533" i="4"/>
  <c r="F532" i="4"/>
  <c r="E532" i="4"/>
  <c r="C532" i="4"/>
  <c r="F531" i="4"/>
  <c r="E531" i="4"/>
  <c r="C531" i="4"/>
  <c r="F530" i="4"/>
  <c r="E530" i="4"/>
  <c r="C530" i="4"/>
  <c r="F529" i="4"/>
  <c r="E529" i="4"/>
  <c r="C529" i="4"/>
  <c r="F528" i="4"/>
  <c r="E528" i="4"/>
  <c r="C528" i="4"/>
  <c r="F527" i="4"/>
  <c r="E527" i="4"/>
  <c r="C527" i="4"/>
  <c r="F526" i="4"/>
  <c r="E526" i="4"/>
  <c r="C526" i="4"/>
  <c r="F525" i="4"/>
  <c r="E525" i="4"/>
  <c r="C525" i="4"/>
  <c r="F524" i="4"/>
  <c r="E524" i="4"/>
  <c r="C524" i="4"/>
  <c r="F523" i="4"/>
  <c r="E523" i="4"/>
  <c r="C523" i="4"/>
  <c r="F522" i="4"/>
  <c r="E522" i="4"/>
  <c r="C522" i="4"/>
  <c r="F521" i="4"/>
  <c r="E521" i="4"/>
  <c r="C521" i="4"/>
  <c r="F520" i="4"/>
  <c r="E520" i="4"/>
  <c r="C520" i="4"/>
  <c r="F519" i="4"/>
  <c r="E519" i="4"/>
  <c r="C519" i="4"/>
  <c r="F518" i="4"/>
  <c r="E518" i="4"/>
  <c r="C518" i="4"/>
  <c r="F517" i="4"/>
  <c r="E517" i="4"/>
  <c r="C517" i="4"/>
  <c r="F516" i="4"/>
  <c r="E516" i="4"/>
  <c r="C516" i="4"/>
  <c r="F515" i="4"/>
  <c r="E515" i="4"/>
  <c r="C515" i="4"/>
  <c r="F514" i="4"/>
  <c r="E514" i="4"/>
  <c r="C514" i="4"/>
  <c r="F513" i="4"/>
  <c r="E513" i="4"/>
  <c r="C513" i="4"/>
  <c r="F512" i="4"/>
  <c r="E512" i="4"/>
  <c r="C512" i="4"/>
  <c r="F511" i="4"/>
  <c r="E511" i="4"/>
  <c r="C511" i="4"/>
  <c r="F510" i="4"/>
  <c r="E510" i="4"/>
  <c r="C510" i="4"/>
  <c r="F509" i="4"/>
  <c r="E509" i="4"/>
  <c r="C509" i="4"/>
  <c r="F508" i="4"/>
  <c r="E508" i="4"/>
  <c r="C508" i="4"/>
  <c r="F507" i="4"/>
  <c r="E507" i="4"/>
  <c r="C507" i="4"/>
  <c r="F506" i="4"/>
  <c r="E506" i="4"/>
  <c r="C506" i="4"/>
  <c r="F505" i="4"/>
  <c r="E505" i="4"/>
  <c r="C505" i="4"/>
  <c r="F504" i="4"/>
  <c r="E504" i="4"/>
  <c r="C504" i="4"/>
  <c r="F503" i="4"/>
  <c r="E503" i="4"/>
  <c r="C503" i="4"/>
  <c r="F502" i="4"/>
  <c r="E502" i="4"/>
  <c r="C502" i="4"/>
  <c r="F501" i="4"/>
  <c r="E501" i="4"/>
  <c r="C501" i="4"/>
  <c r="F500" i="4"/>
  <c r="E500" i="4"/>
  <c r="C500" i="4"/>
  <c r="F499" i="4"/>
  <c r="E499" i="4"/>
  <c r="C499" i="4"/>
  <c r="F498" i="4"/>
  <c r="E498" i="4"/>
  <c r="C498" i="4"/>
  <c r="F497" i="4"/>
  <c r="E497" i="4"/>
  <c r="C497" i="4"/>
  <c r="F496" i="4"/>
  <c r="E496" i="4"/>
  <c r="C496" i="4"/>
  <c r="F495" i="4"/>
  <c r="E495" i="4"/>
  <c r="C495" i="4"/>
  <c r="F494" i="4"/>
  <c r="E494" i="4"/>
  <c r="C494" i="4"/>
  <c r="F493" i="4"/>
  <c r="E493" i="4"/>
  <c r="C493" i="4"/>
  <c r="F492" i="4"/>
  <c r="E492" i="4"/>
  <c r="C492" i="4"/>
  <c r="F491" i="4"/>
  <c r="E491" i="4"/>
  <c r="C491" i="4"/>
  <c r="F490" i="4"/>
  <c r="E490" i="4"/>
  <c r="C490" i="4"/>
  <c r="F489" i="4"/>
  <c r="E489" i="4"/>
  <c r="C489" i="4"/>
  <c r="F488" i="4"/>
  <c r="E488" i="4"/>
  <c r="C488" i="4"/>
  <c r="F487" i="4"/>
  <c r="E487" i="4"/>
  <c r="C487" i="4"/>
  <c r="F486" i="4"/>
  <c r="E486" i="4"/>
  <c r="C486" i="4"/>
  <c r="F485" i="4"/>
  <c r="E485" i="4"/>
  <c r="C485" i="4"/>
  <c r="F484" i="4"/>
  <c r="E484" i="4"/>
  <c r="C484" i="4"/>
  <c r="F483" i="4"/>
  <c r="E483" i="4"/>
  <c r="C483" i="4"/>
  <c r="F482" i="4"/>
  <c r="E482" i="4"/>
  <c r="C482" i="4"/>
  <c r="F481" i="4"/>
  <c r="E481" i="4"/>
  <c r="C481" i="4"/>
  <c r="F480" i="4"/>
  <c r="E480" i="4"/>
  <c r="C480" i="4"/>
  <c r="F479" i="4"/>
  <c r="E479" i="4"/>
  <c r="C479" i="4"/>
  <c r="F478" i="4"/>
  <c r="E478" i="4"/>
  <c r="C478" i="4"/>
  <c r="F477" i="4"/>
  <c r="E477" i="4"/>
  <c r="C477" i="4"/>
  <c r="F476" i="4"/>
  <c r="E476" i="4"/>
  <c r="C476" i="4"/>
  <c r="F475" i="4"/>
  <c r="E475" i="4"/>
  <c r="C475" i="4"/>
  <c r="F474" i="4"/>
  <c r="E474" i="4"/>
  <c r="C474" i="4"/>
  <c r="F473" i="4"/>
  <c r="E473" i="4"/>
  <c r="C473" i="4"/>
  <c r="F472" i="4"/>
  <c r="E472" i="4"/>
  <c r="C472" i="4"/>
  <c r="F471" i="4"/>
  <c r="E471" i="4"/>
  <c r="C471" i="4"/>
  <c r="F470" i="4"/>
  <c r="E470" i="4"/>
  <c r="C470" i="4"/>
  <c r="F469" i="4"/>
  <c r="E469" i="4"/>
  <c r="C469" i="4"/>
  <c r="F468" i="4"/>
  <c r="E468" i="4"/>
  <c r="C468" i="4"/>
  <c r="F467" i="4"/>
  <c r="E467" i="4"/>
  <c r="C467" i="4"/>
  <c r="F466" i="4"/>
  <c r="E466" i="4"/>
  <c r="C466" i="4"/>
  <c r="F465" i="4"/>
  <c r="E465" i="4"/>
  <c r="C465" i="4"/>
  <c r="F464" i="4"/>
  <c r="E464" i="4"/>
  <c r="C464" i="4"/>
  <c r="F463" i="4"/>
  <c r="E463" i="4"/>
  <c r="C463" i="4"/>
  <c r="F462" i="4"/>
  <c r="E462" i="4"/>
  <c r="C462" i="4"/>
  <c r="F461" i="4"/>
  <c r="E461" i="4"/>
  <c r="C461" i="4"/>
  <c r="F460" i="4"/>
  <c r="E460" i="4"/>
  <c r="C460" i="4"/>
  <c r="F459" i="4"/>
  <c r="E459" i="4"/>
  <c r="C459" i="4"/>
  <c r="F458" i="4"/>
  <c r="E458" i="4"/>
  <c r="C458" i="4"/>
  <c r="F457" i="4"/>
  <c r="E457" i="4"/>
  <c r="C457" i="4"/>
  <c r="F456" i="4"/>
  <c r="E456" i="4"/>
  <c r="C456" i="4"/>
  <c r="F455" i="4"/>
  <c r="E455" i="4"/>
  <c r="C455" i="4"/>
  <c r="F454" i="4"/>
  <c r="E454" i="4"/>
  <c r="C454" i="4"/>
  <c r="F453" i="4"/>
  <c r="E453" i="4"/>
  <c r="C453" i="4"/>
  <c r="F452" i="4"/>
  <c r="E452" i="4"/>
  <c r="C452" i="4"/>
  <c r="F451" i="4"/>
  <c r="E451" i="4"/>
  <c r="C451" i="4"/>
  <c r="F450" i="4"/>
  <c r="E450" i="4"/>
  <c r="C450" i="4"/>
  <c r="F449" i="4"/>
  <c r="E449" i="4"/>
  <c r="C449" i="4"/>
  <c r="F448" i="4"/>
  <c r="E448" i="4"/>
  <c r="C448" i="4"/>
  <c r="F447" i="4"/>
  <c r="E447" i="4"/>
  <c r="C447" i="4"/>
  <c r="F446" i="4"/>
  <c r="E446" i="4"/>
  <c r="C446" i="4"/>
  <c r="F445" i="4"/>
  <c r="E445" i="4"/>
  <c r="C445" i="4"/>
  <c r="F444" i="4"/>
  <c r="E444" i="4"/>
  <c r="C444" i="4"/>
  <c r="F443" i="4"/>
  <c r="E443" i="4"/>
  <c r="C443" i="4"/>
  <c r="F442" i="4"/>
  <c r="E442" i="4"/>
  <c r="C442" i="4"/>
  <c r="F441" i="4"/>
  <c r="E441" i="4"/>
  <c r="C441" i="4"/>
  <c r="F440" i="4"/>
  <c r="E440" i="4"/>
  <c r="C440" i="4"/>
  <c r="F439" i="4"/>
  <c r="E439" i="4"/>
  <c r="C439" i="4"/>
  <c r="F438" i="4"/>
  <c r="E438" i="4"/>
  <c r="C438" i="4"/>
  <c r="F437" i="4"/>
  <c r="E437" i="4"/>
  <c r="C437" i="4"/>
  <c r="F436" i="4"/>
  <c r="E436" i="4"/>
  <c r="C436" i="4"/>
  <c r="F435" i="4"/>
  <c r="E435" i="4"/>
  <c r="C435" i="4"/>
  <c r="F434" i="4"/>
  <c r="E434" i="4"/>
  <c r="C434" i="4"/>
  <c r="F433" i="4"/>
  <c r="E433" i="4"/>
  <c r="C433" i="4"/>
  <c r="F432" i="4"/>
  <c r="E432" i="4"/>
  <c r="C432" i="4"/>
  <c r="F431" i="4"/>
  <c r="E431" i="4"/>
  <c r="C431" i="4"/>
  <c r="F430" i="4"/>
  <c r="E430" i="4"/>
  <c r="C430" i="4"/>
  <c r="F429" i="4"/>
  <c r="E429" i="4"/>
  <c r="C429" i="4"/>
  <c r="F428" i="4"/>
  <c r="E428" i="4"/>
  <c r="C428" i="4"/>
  <c r="F427" i="4"/>
  <c r="E427" i="4"/>
  <c r="C427" i="4"/>
  <c r="F426" i="4"/>
  <c r="E426" i="4"/>
  <c r="C426" i="4"/>
  <c r="F425" i="4"/>
  <c r="E425" i="4"/>
  <c r="C425" i="4"/>
  <c r="F424" i="4"/>
  <c r="E424" i="4"/>
  <c r="C424" i="4"/>
  <c r="F423" i="4"/>
  <c r="E423" i="4"/>
  <c r="C423" i="4"/>
  <c r="F422" i="4"/>
  <c r="E422" i="4"/>
  <c r="C422" i="4"/>
  <c r="F421" i="4"/>
  <c r="E421" i="4"/>
  <c r="C421" i="4"/>
  <c r="F420" i="4"/>
  <c r="E420" i="4"/>
  <c r="C420" i="4"/>
  <c r="F419" i="4"/>
  <c r="E419" i="4"/>
  <c r="C419" i="4"/>
  <c r="F418" i="4"/>
  <c r="E418" i="4"/>
  <c r="C418" i="4"/>
  <c r="F417" i="4"/>
  <c r="E417" i="4"/>
  <c r="C417" i="4"/>
  <c r="F416" i="4"/>
  <c r="E416" i="4"/>
  <c r="C416" i="4"/>
  <c r="F415" i="4"/>
  <c r="E415" i="4"/>
  <c r="C415" i="4"/>
  <c r="F414" i="4"/>
  <c r="E414" i="4"/>
  <c r="C414" i="4"/>
  <c r="F413" i="4"/>
  <c r="E413" i="4"/>
  <c r="C413" i="4"/>
  <c r="F412" i="4"/>
  <c r="E412" i="4"/>
  <c r="C412" i="4"/>
  <c r="F411" i="4"/>
  <c r="E411" i="4"/>
  <c r="C411" i="4"/>
  <c r="F410" i="4"/>
  <c r="E410" i="4"/>
  <c r="C410" i="4"/>
  <c r="F409" i="4"/>
  <c r="E409" i="4"/>
  <c r="C409" i="4"/>
  <c r="F408" i="4"/>
  <c r="E408" i="4"/>
  <c r="C408" i="4"/>
  <c r="F407" i="4"/>
  <c r="E407" i="4"/>
  <c r="C407" i="4"/>
  <c r="F406" i="4"/>
  <c r="E406" i="4"/>
  <c r="C406" i="4"/>
  <c r="F405" i="4"/>
  <c r="E405" i="4"/>
  <c r="C405" i="4"/>
  <c r="F404" i="4"/>
  <c r="E404" i="4"/>
  <c r="C404" i="4"/>
  <c r="F403" i="4"/>
  <c r="E403" i="4"/>
  <c r="C403" i="4"/>
  <c r="F402" i="4"/>
  <c r="E402" i="4"/>
  <c r="C402" i="4"/>
  <c r="F401" i="4"/>
  <c r="E401" i="4"/>
  <c r="C401" i="4"/>
  <c r="F400" i="4"/>
  <c r="E400" i="4"/>
  <c r="C400" i="4"/>
  <c r="F399" i="4"/>
  <c r="E399" i="4"/>
  <c r="C399" i="4"/>
  <c r="F398" i="4"/>
  <c r="E398" i="4"/>
  <c r="C398" i="4"/>
  <c r="F397" i="4"/>
  <c r="E397" i="4"/>
  <c r="C397" i="4"/>
  <c r="F396" i="4"/>
  <c r="E396" i="4"/>
  <c r="C396" i="4"/>
  <c r="F395" i="4"/>
  <c r="E395" i="4"/>
  <c r="C395" i="4"/>
  <c r="F394" i="4"/>
  <c r="E394" i="4"/>
  <c r="C394" i="4"/>
  <c r="F393" i="4"/>
  <c r="E393" i="4"/>
  <c r="C393" i="4"/>
  <c r="F392" i="4"/>
  <c r="E392" i="4"/>
  <c r="C392" i="4"/>
  <c r="F391" i="4"/>
  <c r="E391" i="4"/>
  <c r="C391" i="4"/>
  <c r="F390" i="4"/>
  <c r="E390" i="4"/>
  <c r="C390" i="4"/>
  <c r="F389" i="4"/>
  <c r="E389" i="4"/>
  <c r="C389" i="4"/>
  <c r="F388" i="4"/>
  <c r="E388" i="4"/>
  <c r="C388" i="4"/>
  <c r="F387" i="4"/>
  <c r="E387" i="4"/>
  <c r="C387" i="4"/>
  <c r="F386" i="4"/>
  <c r="E386" i="4"/>
  <c r="C386" i="4"/>
  <c r="F385" i="4"/>
  <c r="E385" i="4"/>
  <c r="C385" i="4"/>
  <c r="F384" i="4"/>
  <c r="E384" i="4"/>
  <c r="C384" i="4"/>
  <c r="F383" i="4"/>
  <c r="E383" i="4"/>
  <c r="C383" i="4"/>
  <c r="F382" i="4"/>
  <c r="E382" i="4"/>
  <c r="C382" i="4"/>
  <c r="F381" i="4"/>
  <c r="E381" i="4"/>
  <c r="C381" i="4"/>
  <c r="F380" i="4"/>
  <c r="E380" i="4"/>
  <c r="C380" i="4"/>
  <c r="F379" i="4"/>
  <c r="E379" i="4"/>
  <c r="C379" i="4"/>
  <c r="F378" i="4"/>
  <c r="E378" i="4"/>
  <c r="C378" i="4"/>
  <c r="F377" i="4"/>
  <c r="E377" i="4"/>
  <c r="C377" i="4"/>
  <c r="F376" i="4"/>
  <c r="E376" i="4"/>
  <c r="C376" i="4"/>
  <c r="F375" i="4"/>
  <c r="E375" i="4"/>
  <c r="C375" i="4"/>
  <c r="F374" i="4"/>
  <c r="E374" i="4"/>
  <c r="C374" i="4"/>
  <c r="F373" i="4"/>
  <c r="E373" i="4"/>
  <c r="C373" i="4"/>
  <c r="F372" i="4"/>
  <c r="E372" i="4"/>
  <c r="C372" i="4"/>
  <c r="F371" i="4"/>
  <c r="E371" i="4"/>
  <c r="C371" i="4"/>
  <c r="F370" i="4"/>
  <c r="E370" i="4"/>
  <c r="C370" i="4"/>
  <c r="F369" i="4"/>
  <c r="E369" i="4"/>
  <c r="C369" i="4"/>
  <c r="F368" i="4"/>
  <c r="E368" i="4"/>
  <c r="C368" i="4"/>
  <c r="F367" i="4"/>
  <c r="E367" i="4"/>
  <c r="C367" i="4"/>
  <c r="F366" i="4"/>
  <c r="E366" i="4"/>
  <c r="C366" i="4"/>
  <c r="F365" i="4"/>
  <c r="E365" i="4"/>
  <c r="C365" i="4"/>
  <c r="F364" i="4"/>
  <c r="E364" i="4"/>
  <c r="C364" i="4"/>
  <c r="F363" i="4"/>
  <c r="E363" i="4"/>
  <c r="C363" i="4"/>
  <c r="F362" i="4"/>
  <c r="E362" i="4"/>
  <c r="C362" i="4"/>
  <c r="F361" i="4"/>
  <c r="E361" i="4"/>
  <c r="C361" i="4"/>
  <c r="F360" i="4"/>
  <c r="E360" i="4"/>
  <c r="C360" i="4"/>
  <c r="F359" i="4"/>
  <c r="E359" i="4"/>
  <c r="C359" i="4"/>
  <c r="F358" i="4"/>
  <c r="E358" i="4"/>
  <c r="C358" i="4"/>
  <c r="F357" i="4"/>
  <c r="E357" i="4"/>
  <c r="C357" i="4"/>
  <c r="F356" i="4"/>
  <c r="E356" i="4"/>
  <c r="C356" i="4"/>
  <c r="F355" i="4"/>
  <c r="E355" i="4"/>
  <c r="C355" i="4"/>
  <c r="F354" i="4"/>
  <c r="E354" i="4"/>
  <c r="C354" i="4"/>
  <c r="F353" i="4"/>
  <c r="E353" i="4"/>
  <c r="C353" i="4"/>
  <c r="F352" i="4"/>
  <c r="E352" i="4"/>
  <c r="C352" i="4"/>
  <c r="F351" i="4"/>
  <c r="E351" i="4"/>
  <c r="C351" i="4"/>
  <c r="F350" i="4"/>
  <c r="E350" i="4"/>
  <c r="C350" i="4"/>
  <c r="F349" i="4"/>
  <c r="E349" i="4"/>
  <c r="C349" i="4"/>
  <c r="F348" i="4"/>
  <c r="E348" i="4"/>
  <c r="C348" i="4"/>
  <c r="F347" i="4"/>
  <c r="E347" i="4"/>
  <c r="C347" i="4"/>
  <c r="F346" i="4"/>
  <c r="E346" i="4"/>
  <c r="C346" i="4"/>
  <c r="F345" i="4"/>
  <c r="E345" i="4"/>
  <c r="C345" i="4"/>
  <c r="F344" i="4"/>
  <c r="E344" i="4"/>
  <c r="C344" i="4"/>
  <c r="F343" i="4"/>
  <c r="E343" i="4"/>
  <c r="C343" i="4"/>
  <c r="F342" i="4"/>
  <c r="E342" i="4"/>
  <c r="C342" i="4"/>
  <c r="F341" i="4"/>
  <c r="E341" i="4"/>
  <c r="C341" i="4"/>
  <c r="F340" i="4"/>
  <c r="E340" i="4"/>
  <c r="C340" i="4"/>
  <c r="F339" i="4"/>
  <c r="E339" i="4"/>
  <c r="C339" i="4"/>
  <c r="F338" i="4"/>
  <c r="E338" i="4"/>
  <c r="C338" i="4"/>
  <c r="F337" i="4"/>
  <c r="E337" i="4"/>
  <c r="C337" i="4"/>
  <c r="F336" i="4"/>
  <c r="E336" i="4"/>
  <c r="C336" i="4"/>
  <c r="F335" i="4"/>
  <c r="E335" i="4"/>
  <c r="C335" i="4"/>
  <c r="F334" i="4"/>
  <c r="E334" i="4"/>
  <c r="C334" i="4"/>
  <c r="F333" i="4"/>
  <c r="E333" i="4"/>
  <c r="C333" i="4"/>
  <c r="F332" i="4"/>
  <c r="E332" i="4"/>
  <c r="C332" i="4"/>
  <c r="F331" i="4"/>
  <c r="E331" i="4"/>
  <c r="C331" i="4"/>
  <c r="F330" i="4"/>
  <c r="E330" i="4"/>
  <c r="C330" i="4"/>
  <c r="F329" i="4"/>
  <c r="E329" i="4"/>
  <c r="C329" i="4"/>
  <c r="F328" i="4"/>
  <c r="E328" i="4"/>
  <c r="C328" i="4"/>
  <c r="F327" i="4"/>
  <c r="E327" i="4"/>
  <c r="C327" i="4"/>
  <c r="F326" i="4"/>
  <c r="E326" i="4"/>
  <c r="C326" i="4"/>
  <c r="F325" i="4"/>
  <c r="E325" i="4"/>
  <c r="C325" i="4"/>
  <c r="F324" i="4"/>
  <c r="E324" i="4"/>
  <c r="C324" i="4"/>
  <c r="F323" i="4"/>
  <c r="E323" i="4"/>
  <c r="C323" i="4"/>
  <c r="F322" i="4"/>
  <c r="E322" i="4"/>
  <c r="C322" i="4"/>
  <c r="F321" i="4"/>
  <c r="E321" i="4"/>
  <c r="C321" i="4"/>
  <c r="F320" i="4"/>
  <c r="E320" i="4"/>
  <c r="C320" i="4"/>
  <c r="F319" i="4"/>
  <c r="E319" i="4"/>
  <c r="C319" i="4"/>
  <c r="F318" i="4"/>
  <c r="E318" i="4"/>
  <c r="C318" i="4"/>
  <c r="F317" i="4"/>
  <c r="E317" i="4"/>
  <c r="C317" i="4"/>
  <c r="F316" i="4"/>
  <c r="E316" i="4"/>
  <c r="C316" i="4"/>
  <c r="F315" i="4"/>
  <c r="E315" i="4"/>
  <c r="C315" i="4"/>
  <c r="F314" i="4"/>
  <c r="E314" i="4"/>
  <c r="C314" i="4"/>
  <c r="F313" i="4"/>
  <c r="E313" i="4"/>
  <c r="C313" i="4"/>
  <c r="F312" i="4"/>
  <c r="E312" i="4"/>
  <c r="C312" i="4"/>
  <c r="F311" i="4"/>
  <c r="E311" i="4"/>
  <c r="C311" i="4"/>
  <c r="F310" i="4"/>
  <c r="E310" i="4"/>
  <c r="C310" i="4"/>
  <c r="F309" i="4"/>
  <c r="E309" i="4"/>
  <c r="C309" i="4"/>
  <c r="F308" i="4"/>
  <c r="E308" i="4"/>
  <c r="C308" i="4"/>
  <c r="F307" i="4"/>
  <c r="E307" i="4"/>
  <c r="C307" i="4"/>
  <c r="F306" i="4"/>
  <c r="E306" i="4"/>
  <c r="C306" i="4"/>
  <c r="F305" i="4"/>
  <c r="E305" i="4"/>
  <c r="C305" i="4"/>
  <c r="F304" i="4"/>
  <c r="E304" i="4"/>
  <c r="C304" i="4"/>
  <c r="F303" i="4"/>
  <c r="E303" i="4"/>
  <c r="C303" i="4"/>
  <c r="F302" i="4"/>
  <c r="E302" i="4"/>
  <c r="C302" i="4"/>
  <c r="F301" i="4"/>
  <c r="E301" i="4"/>
  <c r="C301" i="4"/>
  <c r="F300" i="4"/>
  <c r="E300" i="4"/>
  <c r="C300" i="4"/>
  <c r="F299" i="4"/>
  <c r="E299" i="4"/>
  <c r="C299" i="4"/>
  <c r="F298" i="4"/>
  <c r="E298" i="4"/>
  <c r="C298" i="4"/>
  <c r="F297" i="4"/>
  <c r="E297" i="4"/>
  <c r="C297" i="4"/>
  <c r="F296" i="4"/>
  <c r="E296" i="4"/>
  <c r="C296" i="4"/>
  <c r="F295" i="4"/>
  <c r="E295" i="4"/>
  <c r="C295" i="4"/>
  <c r="F294" i="4"/>
  <c r="E294" i="4"/>
  <c r="C294" i="4"/>
  <c r="F293" i="4"/>
  <c r="E293" i="4"/>
  <c r="C293" i="4"/>
  <c r="F292" i="4"/>
  <c r="E292" i="4"/>
  <c r="C292" i="4"/>
  <c r="F291" i="4"/>
  <c r="E291" i="4"/>
  <c r="C291" i="4"/>
  <c r="F290" i="4"/>
  <c r="E290" i="4"/>
  <c r="C290" i="4"/>
  <c r="F289" i="4"/>
  <c r="E289" i="4"/>
  <c r="C289" i="4"/>
  <c r="F288" i="4"/>
  <c r="E288" i="4"/>
  <c r="C288" i="4"/>
  <c r="F287" i="4"/>
  <c r="E287" i="4"/>
  <c r="C287" i="4"/>
  <c r="F286" i="4"/>
  <c r="E286" i="4"/>
  <c r="C286" i="4"/>
  <c r="F285" i="4"/>
  <c r="E285" i="4"/>
  <c r="C285" i="4"/>
  <c r="F284" i="4"/>
  <c r="E284" i="4"/>
  <c r="C284" i="4"/>
  <c r="F283" i="4"/>
  <c r="E283" i="4"/>
  <c r="C283" i="4"/>
  <c r="F282" i="4"/>
  <c r="E282" i="4"/>
  <c r="C282" i="4"/>
  <c r="F281" i="4"/>
  <c r="E281" i="4"/>
  <c r="C281" i="4"/>
  <c r="F280" i="4"/>
  <c r="E280" i="4"/>
  <c r="C280" i="4"/>
  <c r="F279" i="4"/>
  <c r="E279" i="4"/>
  <c r="C279" i="4"/>
  <c r="F278" i="4"/>
  <c r="E278" i="4"/>
  <c r="C278" i="4"/>
  <c r="F277" i="4"/>
  <c r="E277" i="4"/>
  <c r="C277" i="4"/>
  <c r="F276" i="4"/>
  <c r="E276" i="4"/>
  <c r="C276" i="4"/>
  <c r="F275" i="4"/>
  <c r="E275" i="4"/>
  <c r="C275" i="4"/>
  <c r="F274" i="4"/>
  <c r="E274" i="4"/>
  <c r="C274" i="4"/>
  <c r="F273" i="4"/>
  <c r="E273" i="4"/>
  <c r="C273" i="4"/>
  <c r="F272" i="4"/>
  <c r="E272" i="4"/>
  <c r="C272" i="4"/>
  <c r="F271" i="4"/>
  <c r="E271" i="4"/>
  <c r="C271" i="4"/>
  <c r="F270" i="4"/>
  <c r="E270" i="4"/>
  <c r="C270" i="4"/>
  <c r="F269" i="4"/>
  <c r="E269" i="4"/>
  <c r="C269" i="4"/>
  <c r="F268" i="4"/>
  <c r="E268" i="4"/>
  <c r="C268" i="4"/>
  <c r="F267" i="4"/>
  <c r="E267" i="4"/>
  <c r="C267" i="4"/>
  <c r="F266" i="4"/>
  <c r="E266" i="4"/>
  <c r="C266" i="4"/>
  <c r="F265" i="4"/>
  <c r="E265" i="4"/>
  <c r="C265" i="4"/>
  <c r="F264" i="4"/>
  <c r="E264" i="4"/>
  <c r="C264" i="4"/>
  <c r="F263" i="4"/>
  <c r="E263" i="4"/>
  <c r="C263" i="4"/>
  <c r="F262" i="4"/>
  <c r="E262" i="4"/>
  <c r="C262" i="4"/>
  <c r="F261" i="4"/>
  <c r="E261" i="4"/>
  <c r="C261" i="4"/>
  <c r="F260" i="4"/>
  <c r="E260" i="4"/>
  <c r="C260" i="4"/>
  <c r="F259" i="4"/>
  <c r="E259" i="4"/>
  <c r="C259" i="4"/>
  <c r="F258" i="4"/>
  <c r="E258" i="4"/>
  <c r="C258" i="4"/>
  <c r="F257" i="4"/>
  <c r="E257" i="4"/>
  <c r="C257" i="4"/>
  <c r="F256" i="4"/>
  <c r="E256" i="4"/>
  <c r="C256" i="4"/>
  <c r="F255" i="4"/>
  <c r="E255" i="4"/>
  <c r="C255" i="4"/>
  <c r="F254" i="4"/>
  <c r="E254" i="4"/>
  <c r="C254" i="4"/>
  <c r="F253" i="4"/>
  <c r="E253" i="4"/>
  <c r="C253" i="4"/>
  <c r="F252" i="4"/>
  <c r="E252" i="4"/>
  <c r="C252" i="4"/>
  <c r="F251" i="4"/>
  <c r="E251" i="4"/>
  <c r="C251" i="4"/>
  <c r="F250" i="4"/>
  <c r="E250" i="4"/>
  <c r="C250" i="4"/>
  <c r="F249" i="4"/>
  <c r="E249" i="4"/>
  <c r="C249" i="4"/>
  <c r="F248" i="4"/>
  <c r="E248" i="4"/>
  <c r="C248" i="4"/>
  <c r="F247" i="4"/>
  <c r="E247" i="4"/>
  <c r="C247" i="4"/>
  <c r="F246" i="4"/>
  <c r="E246" i="4"/>
  <c r="C246" i="4"/>
  <c r="F245" i="4"/>
  <c r="E245" i="4"/>
  <c r="C245" i="4"/>
  <c r="F244" i="4"/>
  <c r="E244" i="4"/>
  <c r="C244" i="4"/>
  <c r="F243" i="4"/>
  <c r="E243" i="4"/>
  <c r="C243" i="4"/>
  <c r="F242" i="4"/>
  <c r="E242" i="4"/>
  <c r="C242" i="4"/>
  <c r="F241" i="4"/>
  <c r="E241" i="4"/>
  <c r="C241" i="4"/>
  <c r="F240" i="4"/>
  <c r="E240" i="4"/>
  <c r="C240" i="4"/>
  <c r="F239" i="4"/>
  <c r="E239" i="4"/>
  <c r="C239" i="4"/>
  <c r="F238" i="4"/>
  <c r="E238" i="4"/>
  <c r="C238" i="4"/>
  <c r="F237" i="4"/>
  <c r="E237" i="4"/>
  <c r="C237" i="4"/>
  <c r="F236" i="4"/>
  <c r="E236" i="4"/>
  <c r="C236" i="4"/>
  <c r="F235" i="4"/>
  <c r="E235" i="4"/>
  <c r="C235" i="4"/>
  <c r="F234" i="4"/>
  <c r="E234" i="4"/>
  <c r="C234" i="4"/>
  <c r="F233" i="4"/>
  <c r="E233" i="4"/>
  <c r="C233" i="4"/>
  <c r="F232" i="4"/>
  <c r="E232" i="4"/>
  <c r="C232" i="4"/>
  <c r="F231" i="4"/>
  <c r="E231" i="4"/>
  <c r="C231" i="4"/>
  <c r="F230" i="4"/>
  <c r="E230" i="4"/>
  <c r="C230" i="4"/>
  <c r="F229" i="4"/>
  <c r="E229" i="4"/>
  <c r="C229" i="4"/>
  <c r="F228" i="4"/>
  <c r="E228" i="4"/>
  <c r="C228" i="4"/>
  <c r="F227" i="4"/>
  <c r="E227" i="4"/>
  <c r="C227" i="4"/>
  <c r="F226" i="4"/>
  <c r="E226" i="4"/>
  <c r="C226" i="4"/>
  <c r="F225" i="4"/>
  <c r="E225" i="4"/>
  <c r="C225" i="4"/>
  <c r="F224" i="4"/>
  <c r="E224" i="4"/>
  <c r="C224" i="4"/>
  <c r="F223" i="4"/>
  <c r="E223" i="4"/>
  <c r="C223" i="4"/>
  <c r="F222" i="4"/>
  <c r="E222" i="4"/>
  <c r="C222" i="4"/>
  <c r="F221" i="4"/>
  <c r="E221" i="4"/>
  <c r="C221" i="4"/>
  <c r="F220" i="4"/>
  <c r="E220" i="4"/>
  <c r="C220" i="4"/>
  <c r="F219" i="4"/>
  <c r="E219" i="4"/>
  <c r="C219" i="4"/>
  <c r="F218" i="4"/>
  <c r="E218" i="4"/>
  <c r="C218" i="4"/>
  <c r="F217" i="4"/>
  <c r="E217" i="4"/>
  <c r="C217" i="4"/>
  <c r="F216" i="4"/>
  <c r="E216" i="4"/>
  <c r="C216" i="4"/>
  <c r="F215" i="4"/>
  <c r="E215" i="4"/>
  <c r="C215" i="4"/>
  <c r="F214" i="4"/>
  <c r="E214" i="4"/>
  <c r="C214" i="4"/>
  <c r="F213" i="4"/>
  <c r="E213" i="4"/>
  <c r="C213" i="4"/>
  <c r="F212" i="4"/>
  <c r="E212" i="4"/>
  <c r="C212" i="4"/>
  <c r="F211" i="4"/>
  <c r="E211" i="4"/>
  <c r="C211" i="4"/>
  <c r="F210" i="4"/>
  <c r="E210" i="4"/>
  <c r="C210" i="4"/>
  <c r="F209" i="4"/>
  <c r="E209" i="4"/>
  <c r="C209" i="4"/>
  <c r="F208" i="4"/>
  <c r="E208" i="4"/>
  <c r="C208" i="4"/>
  <c r="F207" i="4"/>
  <c r="E207" i="4"/>
  <c r="C207" i="4"/>
  <c r="F206" i="4"/>
  <c r="E206" i="4"/>
  <c r="C206" i="4"/>
  <c r="F205" i="4"/>
  <c r="E205" i="4"/>
  <c r="C205" i="4"/>
  <c r="F204" i="4"/>
  <c r="E204" i="4"/>
  <c r="C204" i="4"/>
  <c r="F203" i="4"/>
  <c r="E203" i="4"/>
  <c r="C203" i="4"/>
  <c r="F202" i="4"/>
  <c r="E202" i="4"/>
  <c r="C202" i="4"/>
  <c r="F201" i="4"/>
  <c r="E201" i="4"/>
  <c r="C201" i="4"/>
  <c r="F200" i="4"/>
  <c r="E200" i="4"/>
  <c r="C200" i="4"/>
  <c r="F199" i="4"/>
  <c r="E199" i="4"/>
  <c r="C199" i="4"/>
  <c r="F198" i="4"/>
  <c r="E198" i="4"/>
  <c r="C198" i="4"/>
  <c r="F197" i="4"/>
  <c r="E197" i="4"/>
  <c r="C197" i="4"/>
  <c r="F196" i="4"/>
  <c r="E196" i="4"/>
  <c r="C196" i="4"/>
  <c r="F195" i="4"/>
  <c r="E195" i="4"/>
  <c r="C195" i="4"/>
  <c r="F194" i="4"/>
  <c r="E194" i="4"/>
  <c r="C194" i="4"/>
  <c r="F193" i="4"/>
  <c r="E193" i="4"/>
  <c r="C193" i="4"/>
  <c r="F192" i="4"/>
  <c r="E192" i="4"/>
  <c r="C192" i="4"/>
  <c r="F191" i="4"/>
  <c r="E191" i="4"/>
  <c r="C191" i="4"/>
  <c r="F190" i="4"/>
  <c r="E190" i="4"/>
  <c r="C190" i="4"/>
  <c r="F189" i="4"/>
  <c r="E189" i="4"/>
  <c r="C189" i="4"/>
  <c r="F188" i="4"/>
  <c r="E188" i="4"/>
  <c r="C188" i="4"/>
  <c r="F187" i="4"/>
  <c r="E187" i="4"/>
  <c r="C187" i="4"/>
  <c r="F186" i="4"/>
  <c r="E186" i="4"/>
  <c r="C186" i="4"/>
  <c r="F185" i="4"/>
  <c r="E185" i="4"/>
  <c r="C185" i="4"/>
  <c r="F184" i="4"/>
  <c r="E184" i="4"/>
  <c r="C184" i="4"/>
  <c r="F183" i="4"/>
  <c r="E183" i="4"/>
  <c r="C183" i="4"/>
  <c r="F182" i="4"/>
  <c r="E182" i="4"/>
  <c r="C182" i="4"/>
  <c r="F181" i="4"/>
  <c r="E181" i="4"/>
  <c r="C181" i="4"/>
  <c r="F180" i="4"/>
  <c r="E180" i="4"/>
  <c r="C180" i="4"/>
  <c r="F179" i="4"/>
  <c r="E179" i="4"/>
  <c r="C179" i="4"/>
  <c r="F178" i="4"/>
  <c r="E178" i="4"/>
  <c r="C178" i="4"/>
  <c r="F177" i="4"/>
  <c r="E177" i="4"/>
  <c r="C177" i="4"/>
  <c r="F176" i="4"/>
  <c r="E176" i="4"/>
  <c r="C176" i="4"/>
  <c r="F175" i="4"/>
  <c r="E175" i="4"/>
  <c r="C175" i="4"/>
  <c r="F174" i="4"/>
  <c r="E174" i="4"/>
  <c r="C174" i="4"/>
  <c r="F173" i="4"/>
  <c r="E173" i="4"/>
  <c r="C173" i="4"/>
  <c r="F172" i="4"/>
  <c r="E172" i="4"/>
  <c r="C172" i="4"/>
  <c r="F171" i="4"/>
  <c r="E171" i="4"/>
  <c r="C171" i="4"/>
  <c r="F170" i="4"/>
  <c r="E170" i="4"/>
  <c r="C170" i="4"/>
  <c r="F169" i="4"/>
  <c r="E169" i="4"/>
  <c r="C169" i="4"/>
  <c r="F168" i="4"/>
  <c r="E168" i="4"/>
  <c r="C168" i="4"/>
  <c r="F167" i="4"/>
  <c r="E167" i="4"/>
  <c r="C167" i="4"/>
  <c r="F166" i="4"/>
  <c r="E166" i="4"/>
  <c r="C166" i="4"/>
  <c r="F165" i="4"/>
  <c r="E165" i="4"/>
  <c r="C165" i="4"/>
  <c r="F164" i="4"/>
  <c r="E164" i="4"/>
  <c r="C164" i="4"/>
  <c r="F163" i="4"/>
  <c r="E163" i="4"/>
  <c r="C163" i="4"/>
  <c r="F162" i="4"/>
  <c r="E162" i="4"/>
  <c r="C162" i="4"/>
  <c r="F161" i="4"/>
  <c r="E161" i="4"/>
  <c r="C161" i="4"/>
  <c r="F160" i="4"/>
  <c r="E160" i="4"/>
  <c r="C160" i="4"/>
  <c r="F159" i="4"/>
  <c r="E159" i="4"/>
  <c r="C159" i="4"/>
  <c r="F158" i="4"/>
  <c r="E158" i="4"/>
  <c r="C158" i="4"/>
  <c r="F157" i="4"/>
  <c r="E157" i="4"/>
  <c r="C157" i="4"/>
  <c r="F156" i="4"/>
  <c r="E156" i="4"/>
  <c r="C156" i="4"/>
  <c r="F155" i="4"/>
  <c r="E155" i="4"/>
  <c r="C155" i="4"/>
  <c r="F154" i="4"/>
  <c r="E154" i="4"/>
  <c r="C154" i="4"/>
  <c r="F153" i="4"/>
  <c r="E153" i="4"/>
  <c r="C153" i="4"/>
  <c r="F152" i="4"/>
  <c r="E152" i="4"/>
  <c r="C152" i="4"/>
  <c r="F151" i="4"/>
  <c r="E151" i="4"/>
  <c r="C151" i="4"/>
  <c r="F150" i="4"/>
  <c r="E150" i="4"/>
  <c r="C150" i="4"/>
  <c r="F149" i="4"/>
  <c r="E149" i="4"/>
  <c r="C149" i="4"/>
  <c r="F148" i="4"/>
  <c r="E148" i="4"/>
  <c r="C148" i="4"/>
  <c r="F147" i="4"/>
  <c r="E147" i="4"/>
  <c r="C147" i="4"/>
  <c r="F146" i="4"/>
  <c r="E146" i="4"/>
  <c r="C146" i="4"/>
  <c r="F145" i="4"/>
  <c r="E145" i="4"/>
  <c r="C145" i="4"/>
  <c r="F144" i="4"/>
  <c r="E144" i="4"/>
  <c r="C144" i="4"/>
  <c r="F143" i="4"/>
  <c r="E143" i="4"/>
  <c r="C143" i="4"/>
  <c r="F142" i="4"/>
  <c r="E142" i="4"/>
  <c r="C142" i="4"/>
  <c r="F141" i="4"/>
  <c r="E141" i="4"/>
  <c r="C141" i="4"/>
  <c r="F140" i="4"/>
  <c r="E140" i="4"/>
  <c r="C140" i="4"/>
  <c r="F139" i="4"/>
  <c r="E139" i="4"/>
  <c r="C139" i="4"/>
  <c r="F138" i="4"/>
  <c r="E138" i="4"/>
  <c r="C138" i="4"/>
  <c r="F137" i="4"/>
  <c r="E137" i="4"/>
  <c r="C137" i="4"/>
  <c r="F136" i="4"/>
  <c r="E136" i="4"/>
  <c r="C136" i="4"/>
  <c r="F135" i="4"/>
  <c r="E135" i="4"/>
  <c r="C135" i="4"/>
  <c r="F134" i="4"/>
  <c r="E134" i="4"/>
  <c r="C134" i="4"/>
  <c r="F133" i="4"/>
  <c r="E133" i="4"/>
  <c r="C133" i="4"/>
  <c r="F132" i="4"/>
  <c r="E132" i="4"/>
  <c r="C132" i="4"/>
  <c r="F131" i="4"/>
  <c r="E131" i="4"/>
  <c r="C131" i="4"/>
  <c r="F130" i="4"/>
  <c r="E130" i="4"/>
  <c r="C130" i="4"/>
  <c r="F129" i="4"/>
  <c r="E129" i="4"/>
  <c r="C129" i="4"/>
  <c r="F128" i="4"/>
  <c r="E128" i="4"/>
  <c r="C128" i="4"/>
  <c r="F127" i="4"/>
  <c r="E127" i="4"/>
  <c r="C127" i="4"/>
  <c r="F126" i="4"/>
  <c r="E126" i="4"/>
  <c r="C126" i="4"/>
  <c r="F125" i="4"/>
  <c r="E125" i="4"/>
  <c r="C125" i="4"/>
  <c r="F124" i="4"/>
  <c r="E124" i="4"/>
  <c r="C124" i="4"/>
  <c r="F123" i="4"/>
  <c r="E123" i="4"/>
  <c r="C123" i="4"/>
  <c r="F122" i="4"/>
  <c r="E122" i="4"/>
  <c r="C122" i="4"/>
  <c r="F121" i="4"/>
  <c r="E121" i="4"/>
  <c r="C121" i="4"/>
  <c r="F120" i="4"/>
  <c r="E120" i="4"/>
  <c r="C120" i="4"/>
  <c r="F119" i="4"/>
  <c r="E119" i="4"/>
  <c r="C119" i="4"/>
  <c r="F118" i="4"/>
  <c r="E118" i="4"/>
  <c r="C118" i="4"/>
  <c r="F117" i="4"/>
  <c r="E117" i="4"/>
  <c r="C117" i="4"/>
  <c r="F116" i="4"/>
  <c r="E116" i="4"/>
  <c r="C116" i="4"/>
  <c r="F115" i="4"/>
  <c r="E115" i="4"/>
  <c r="C115" i="4"/>
  <c r="F114" i="4"/>
  <c r="E114" i="4"/>
  <c r="C114" i="4"/>
  <c r="F113" i="4"/>
  <c r="E113" i="4"/>
  <c r="C113" i="4"/>
  <c r="F112" i="4"/>
  <c r="E112" i="4"/>
  <c r="C112" i="4"/>
  <c r="F111" i="4"/>
  <c r="E111" i="4"/>
  <c r="C111" i="4"/>
  <c r="F110" i="4"/>
  <c r="E110" i="4"/>
  <c r="C110" i="4"/>
  <c r="F109" i="4"/>
  <c r="E109" i="4"/>
  <c r="C109" i="4"/>
  <c r="F108" i="4"/>
  <c r="E108" i="4"/>
  <c r="C108" i="4"/>
  <c r="F107" i="4"/>
  <c r="E107" i="4"/>
  <c r="C107" i="4"/>
  <c r="F106" i="4"/>
  <c r="E106" i="4"/>
  <c r="C106" i="4"/>
  <c r="F105" i="4"/>
  <c r="E105" i="4"/>
  <c r="C105" i="4"/>
  <c r="F104" i="4"/>
  <c r="E104" i="4"/>
  <c r="C104" i="4"/>
  <c r="F103" i="4"/>
  <c r="E103" i="4"/>
  <c r="C103" i="4"/>
  <c r="C7" i="7" s="1"/>
  <c r="F102" i="4"/>
  <c r="E102" i="4"/>
  <c r="C102" i="4"/>
  <c r="F101" i="4"/>
  <c r="E101" i="4"/>
  <c r="C101" i="4"/>
  <c r="F100" i="4"/>
  <c r="E100" i="4"/>
  <c r="C100" i="4"/>
  <c r="F99" i="4"/>
  <c r="E99" i="4"/>
  <c r="C99" i="4"/>
  <c r="F98" i="4"/>
  <c r="E98" i="4"/>
  <c r="C98" i="4"/>
  <c r="F97" i="4"/>
  <c r="E97" i="4"/>
  <c r="C97" i="4"/>
  <c r="F96" i="4"/>
  <c r="E96" i="4"/>
  <c r="C96" i="4"/>
  <c r="F95" i="4"/>
  <c r="E95" i="4"/>
  <c r="C95" i="4"/>
  <c r="F94" i="4"/>
  <c r="E94" i="4"/>
  <c r="C94" i="4"/>
  <c r="F93" i="4"/>
  <c r="E93" i="4"/>
  <c r="C93" i="4"/>
  <c r="F92" i="4"/>
  <c r="E92" i="4"/>
  <c r="C92" i="4"/>
  <c r="F91" i="4"/>
  <c r="E91" i="4"/>
  <c r="C91" i="4"/>
  <c r="F90" i="4"/>
  <c r="E90" i="4"/>
  <c r="C90" i="4"/>
  <c r="F89" i="4"/>
  <c r="E89" i="4"/>
  <c r="C89" i="4"/>
  <c r="F88" i="4"/>
  <c r="E88" i="4"/>
  <c r="C88" i="4"/>
  <c r="F87" i="4"/>
  <c r="E87" i="4"/>
  <c r="C87" i="4"/>
  <c r="F86" i="4"/>
  <c r="E86" i="4"/>
  <c r="C86" i="4"/>
  <c r="F85" i="4"/>
  <c r="E85" i="4"/>
  <c r="C85" i="4"/>
  <c r="F84" i="4"/>
  <c r="E84" i="4"/>
  <c r="C84" i="4"/>
  <c r="F83" i="4"/>
  <c r="E83" i="4"/>
  <c r="C83" i="4"/>
  <c r="F82" i="4"/>
  <c r="E82" i="4"/>
  <c r="C82" i="4"/>
  <c r="F81" i="4"/>
  <c r="E81" i="4"/>
  <c r="C81" i="4"/>
  <c r="F80" i="4"/>
  <c r="E80" i="4"/>
  <c r="C80" i="4"/>
  <c r="F79" i="4"/>
  <c r="E79" i="4"/>
  <c r="C79" i="4"/>
  <c r="F78" i="4"/>
  <c r="E78" i="4"/>
  <c r="C78" i="4"/>
  <c r="F77" i="4"/>
  <c r="E77" i="4"/>
  <c r="C77" i="4"/>
  <c r="F76" i="4"/>
  <c r="E76" i="4"/>
  <c r="C76" i="4"/>
  <c r="F75" i="4"/>
  <c r="E75" i="4"/>
  <c r="C75" i="4"/>
  <c r="F74" i="4"/>
  <c r="E74" i="4"/>
  <c r="C74" i="4"/>
  <c r="F73" i="4"/>
  <c r="E73" i="4"/>
  <c r="C73" i="4"/>
  <c r="F72" i="4"/>
  <c r="E72" i="4"/>
  <c r="C72" i="4"/>
  <c r="F71" i="4"/>
  <c r="E71" i="4"/>
  <c r="C71" i="4"/>
  <c r="F70" i="4"/>
  <c r="E70" i="4"/>
  <c r="C70" i="4"/>
  <c r="F69" i="4"/>
  <c r="E69" i="4"/>
  <c r="C69" i="4"/>
  <c r="F68" i="4"/>
  <c r="E68" i="4"/>
  <c r="C68" i="4"/>
  <c r="F67" i="4"/>
  <c r="E67" i="4"/>
  <c r="C67" i="4"/>
  <c r="F66" i="4"/>
  <c r="E66" i="4"/>
  <c r="C66" i="4"/>
  <c r="F65" i="4"/>
  <c r="E65" i="4"/>
  <c r="C65" i="4"/>
  <c r="F64" i="4"/>
  <c r="E64" i="4"/>
  <c r="C64" i="4"/>
  <c r="F63" i="4"/>
  <c r="E63" i="4"/>
  <c r="C63" i="4"/>
  <c r="F62" i="4"/>
  <c r="E62" i="4"/>
  <c r="C62" i="4"/>
  <c r="F61" i="4"/>
  <c r="E61" i="4"/>
  <c r="C61" i="4"/>
  <c r="F60" i="4"/>
  <c r="E60" i="4"/>
  <c r="C60" i="4"/>
  <c r="F59" i="4"/>
  <c r="E59" i="4"/>
  <c r="C59" i="4"/>
  <c r="F58" i="4"/>
  <c r="E58" i="4"/>
  <c r="C58" i="4"/>
  <c r="F57" i="4"/>
  <c r="E57" i="4"/>
  <c r="C57" i="4"/>
  <c r="F56" i="4"/>
  <c r="E56" i="4"/>
  <c r="C56" i="4"/>
  <c r="F55" i="4"/>
  <c r="E55" i="4"/>
  <c r="C55" i="4"/>
  <c r="F54" i="4"/>
  <c r="E54" i="4"/>
  <c r="C54" i="4"/>
  <c r="F53" i="4"/>
  <c r="E53" i="4"/>
  <c r="C53" i="4"/>
  <c r="F52" i="4"/>
  <c r="E52" i="4"/>
  <c r="C52" i="4"/>
  <c r="F51" i="4"/>
  <c r="E51" i="4"/>
  <c r="C51" i="4"/>
  <c r="F50" i="4"/>
  <c r="E50" i="4"/>
  <c r="C50" i="4"/>
  <c r="F49" i="4"/>
  <c r="E49" i="4"/>
  <c r="C49" i="4"/>
  <c r="F48" i="4"/>
  <c r="E48" i="4"/>
  <c r="C48" i="4"/>
  <c r="F47" i="4"/>
  <c r="E47" i="4"/>
  <c r="C47" i="4"/>
  <c r="F46" i="4"/>
  <c r="E46" i="4"/>
  <c r="C46" i="4"/>
  <c r="F45" i="4"/>
  <c r="E45" i="4"/>
  <c r="C45" i="4"/>
  <c r="F44" i="4"/>
  <c r="E44" i="4"/>
  <c r="C44" i="4"/>
  <c r="F43" i="4"/>
  <c r="E43" i="4"/>
  <c r="C43" i="4"/>
  <c r="C10" i="7" s="1"/>
  <c r="F42" i="4"/>
  <c r="E42" i="4"/>
  <c r="C42" i="4"/>
  <c r="F41" i="4"/>
  <c r="E41" i="4"/>
  <c r="C41" i="4"/>
  <c r="F40" i="4"/>
  <c r="E40" i="4"/>
  <c r="C40" i="4"/>
  <c r="F39" i="4"/>
  <c r="E39" i="4"/>
  <c r="C39" i="4"/>
  <c r="F38" i="4"/>
  <c r="E38" i="4"/>
  <c r="C38" i="4"/>
  <c r="F37" i="4"/>
  <c r="E37" i="4"/>
  <c r="C37" i="4"/>
  <c r="F36" i="4"/>
  <c r="E36" i="4"/>
  <c r="C36" i="4"/>
  <c r="F35" i="4"/>
  <c r="E35" i="4"/>
  <c r="C35" i="4"/>
  <c r="F34" i="4"/>
  <c r="E34" i="4"/>
  <c r="C34" i="4"/>
  <c r="F33" i="4"/>
  <c r="E33" i="4"/>
  <c r="C33" i="4"/>
  <c r="F32" i="4"/>
  <c r="E32" i="4"/>
  <c r="C32" i="4"/>
  <c r="F31" i="4"/>
  <c r="E31" i="4"/>
  <c r="C31" i="4"/>
  <c r="F30" i="4"/>
  <c r="E30" i="4"/>
  <c r="C30" i="4"/>
  <c r="F29" i="4"/>
  <c r="E29" i="4"/>
  <c r="C29" i="4"/>
  <c r="F28" i="4"/>
  <c r="E28" i="4"/>
  <c r="C28" i="4"/>
  <c r="F27" i="4"/>
  <c r="E27" i="4"/>
  <c r="C27" i="4"/>
  <c r="F26" i="4"/>
  <c r="E26" i="4"/>
  <c r="C26" i="4"/>
  <c r="F25" i="4"/>
  <c r="E25" i="4"/>
  <c r="C25" i="4"/>
  <c r="F24" i="4"/>
  <c r="E24" i="4"/>
  <c r="C24" i="4"/>
  <c r="F23" i="4"/>
  <c r="E23" i="4"/>
  <c r="C23" i="4"/>
  <c r="F22" i="4"/>
  <c r="E22" i="4"/>
  <c r="C22" i="4"/>
  <c r="F21" i="4"/>
  <c r="E21" i="4"/>
  <c r="C21" i="4"/>
  <c r="F20" i="4"/>
  <c r="E20" i="4"/>
  <c r="C20" i="4"/>
  <c r="F19" i="4"/>
  <c r="E19" i="4"/>
  <c r="C19" i="4"/>
  <c r="E11" i="7" s="1"/>
  <c r="F18" i="4"/>
  <c r="E18" i="4"/>
  <c r="C18" i="4"/>
  <c r="F17" i="4"/>
  <c r="E17" i="4"/>
  <c r="C17" i="4"/>
  <c r="F16" i="4"/>
  <c r="E16" i="4"/>
  <c r="C16" i="4"/>
  <c r="F15" i="4"/>
  <c r="E15" i="4"/>
  <c r="C15" i="4"/>
  <c r="B21" i="6" s="1"/>
  <c r="G21" i="6" s="1"/>
  <c r="F14" i="4"/>
  <c r="E14" i="4"/>
  <c r="C14" i="4"/>
  <c r="F13" i="4"/>
  <c r="E13" i="4"/>
  <c r="C13" i="4"/>
  <c r="F12" i="4"/>
  <c r="E12" i="4"/>
  <c r="C12" i="4"/>
  <c r="F11" i="4"/>
  <c r="E11" i="4"/>
  <c r="C11" i="4"/>
  <c r="B19" i="6" s="1"/>
  <c r="G19" i="6" s="1"/>
  <c r="F10" i="4"/>
  <c r="E10" i="4"/>
  <c r="C10" i="4"/>
  <c r="F9" i="4"/>
  <c r="E9" i="4"/>
  <c r="C9" i="4"/>
  <c r="F8" i="4"/>
  <c r="E8" i="4"/>
  <c r="C8" i="4"/>
  <c r="F7" i="4"/>
  <c r="E7" i="4"/>
  <c r="C7" i="4"/>
  <c r="C38" i="9" s="1"/>
  <c r="D38" i="9" s="1"/>
  <c r="F6" i="4"/>
  <c r="E6" i="4"/>
  <c r="C6" i="4"/>
  <c r="F5" i="4"/>
  <c r="E5" i="4"/>
  <c r="C5" i="4"/>
  <c r="F4" i="4"/>
  <c r="E4" i="4"/>
  <c r="C4" i="4"/>
  <c r="F3" i="4"/>
  <c r="E3" i="4"/>
  <c r="C3" i="4"/>
  <c r="F2" i="4"/>
  <c r="E2" i="4"/>
  <c r="C2" i="4"/>
  <c r="C13" i="6" l="1"/>
  <c r="C42" i="9"/>
  <c r="D42" i="9" s="1"/>
  <c r="E40" i="9"/>
  <c r="D7" i="7"/>
  <c r="B20" i="6"/>
  <c r="E10" i="7"/>
  <c r="B10" i="7"/>
  <c r="D10" i="7"/>
  <c r="B11" i="7"/>
  <c r="G11" i="7" s="1"/>
  <c r="D11" i="7"/>
  <c r="B7" i="8"/>
  <c r="D7" i="8" s="1"/>
  <c r="E9" i="7"/>
  <c r="B8" i="7"/>
  <c r="G8" i="7" s="1"/>
  <c r="C11" i="7"/>
  <c r="B12" i="8"/>
  <c r="D12" i="8" s="1"/>
  <c r="B22" i="6"/>
  <c r="D22" i="6" s="1"/>
  <c r="E22" i="6" s="1"/>
  <c r="D9" i="7"/>
  <c r="G9" i="7" s="1"/>
  <c r="E7" i="7"/>
  <c r="C9" i="7"/>
  <c r="F9" i="7" s="1"/>
  <c r="B9" i="7"/>
  <c r="C8" i="7"/>
  <c r="C12" i="7" s="1"/>
  <c r="N41" i="9"/>
  <c r="N42" i="9"/>
  <c r="N40" i="9"/>
  <c r="N38" i="9"/>
  <c r="N39" i="9"/>
  <c r="I9" i="7"/>
  <c r="D20" i="6"/>
  <c r="E20" i="6" s="1"/>
  <c r="G10" i="7"/>
  <c r="F10" i="7"/>
  <c r="I10" i="7"/>
  <c r="I11" i="7"/>
  <c r="C15" i="6"/>
  <c r="F13" i="6"/>
  <c r="F32" i="9"/>
  <c r="C33" i="9"/>
  <c r="D33" i="9" s="1"/>
  <c r="E35" i="9"/>
  <c r="F36" i="9"/>
  <c r="C37" i="9"/>
  <c r="D37" i="9" s="1"/>
  <c r="E39" i="9"/>
  <c r="F40" i="9"/>
  <c r="C41" i="9"/>
  <c r="D41" i="9" s="1"/>
  <c r="E43" i="9"/>
  <c r="D8" i="7"/>
  <c r="B11" i="6"/>
  <c r="F11" i="6"/>
  <c r="B18" i="6"/>
  <c r="F18" i="6"/>
  <c r="D19" i="6"/>
  <c r="E19" i="6" s="1"/>
  <c r="F20" i="6"/>
  <c r="D21" i="6"/>
  <c r="E21" i="6" s="1"/>
  <c r="F22" i="6"/>
  <c r="G22" i="6" s="1"/>
  <c r="E8" i="7"/>
  <c r="E12" i="7" s="1"/>
  <c r="H5" i="9"/>
  <c r="H6" i="9" s="1"/>
  <c r="C32" i="9"/>
  <c r="E34" i="9"/>
  <c r="F35" i="9"/>
  <c r="C36" i="9"/>
  <c r="D36" i="9" s="1"/>
  <c r="E38" i="9"/>
  <c r="F39" i="9"/>
  <c r="C40" i="9"/>
  <c r="D40" i="9" s="1"/>
  <c r="E42" i="9"/>
  <c r="F43" i="9"/>
  <c r="C23" i="6"/>
  <c r="B7" i="7"/>
  <c r="E33" i="9"/>
  <c r="F34" i="9"/>
  <c r="C35" i="9"/>
  <c r="D35" i="9" s="1"/>
  <c r="E37" i="9"/>
  <c r="F38" i="9"/>
  <c r="C39" i="9"/>
  <c r="D39" i="9" s="1"/>
  <c r="E41" i="9"/>
  <c r="F42" i="9"/>
  <c r="C43" i="9"/>
  <c r="D43" i="9" s="1"/>
  <c r="B12" i="6"/>
  <c r="G12" i="6" s="1"/>
  <c r="B14" i="6"/>
  <c r="G14" i="6" s="1"/>
  <c r="E32" i="9"/>
  <c r="F33" i="9"/>
  <c r="C34" i="9"/>
  <c r="D34" i="9" s="1"/>
  <c r="E36" i="9"/>
  <c r="F37" i="9"/>
  <c r="F41" i="9"/>
  <c r="G20" i="6" l="1"/>
  <c r="D12" i="7"/>
  <c r="I8" i="7"/>
  <c r="F11" i="7"/>
  <c r="G38" i="9"/>
  <c r="H38" i="9" s="1"/>
  <c r="G42" i="9"/>
  <c r="H42" i="9" s="1"/>
  <c r="G35" i="9"/>
  <c r="H35" i="9" s="1"/>
  <c r="G39" i="9"/>
  <c r="H39" i="9" s="1"/>
  <c r="D32" i="9"/>
  <c r="C44" i="9"/>
  <c r="B23" i="6"/>
  <c r="G18" i="6"/>
  <c r="D11" i="6"/>
  <c r="E11" i="6" s="1"/>
  <c r="G11" i="6"/>
  <c r="B13" i="6"/>
  <c r="F23" i="6"/>
  <c r="G34" i="9"/>
  <c r="H34" i="9" s="1"/>
  <c r="G43" i="9"/>
  <c r="H43" i="9" s="1"/>
  <c r="G36" i="9"/>
  <c r="H36" i="9" s="1"/>
  <c r="D14" i="6"/>
  <c r="E14" i="6" s="1"/>
  <c r="G33" i="9"/>
  <c r="H33" i="9" s="1"/>
  <c r="C24" i="6"/>
  <c r="F15" i="6"/>
  <c r="C16" i="6"/>
  <c r="F16" i="6" s="1"/>
  <c r="E44" i="9"/>
  <c r="G7" i="7"/>
  <c r="B12" i="7"/>
  <c r="G12" i="7" s="1"/>
  <c r="F7" i="7"/>
  <c r="I7" i="7"/>
  <c r="I12" i="7" s="1"/>
  <c r="G40" i="9"/>
  <c r="H40" i="9" s="1"/>
  <c r="D12" i="6"/>
  <c r="E12" i="6" s="1"/>
  <c r="G37" i="9"/>
  <c r="H37" i="9" s="1"/>
  <c r="F44" i="9"/>
  <c r="G41" i="9"/>
  <c r="H41" i="9" s="1"/>
  <c r="F8" i="7"/>
  <c r="D18" i="6"/>
  <c r="E18" i="6" s="1"/>
  <c r="G23" i="6" l="1"/>
  <c r="F12" i="7"/>
  <c r="C25" i="6"/>
  <c r="F25" i="6" s="1"/>
  <c r="F24" i="6"/>
  <c r="D13" i="6"/>
  <c r="E13" i="6" s="1"/>
  <c r="G13" i="6"/>
  <c r="B15" i="6"/>
  <c r="L42" i="9"/>
  <c r="L39" i="9"/>
  <c r="L40" i="9"/>
  <c r="L38" i="9"/>
  <c r="L41" i="9"/>
  <c r="D44" i="9"/>
  <c r="G32" i="9"/>
  <c r="D23" i="6"/>
  <c r="E23" i="6" s="1"/>
  <c r="H32" i="9" l="1"/>
  <c r="G44" i="9"/>
  <c r="H44" i="9" s="1"/>
  <c r="B16" i="6"/>
  <c r="D15" i="6"/>
  <c r="E15" i="6" s="1"/>
  <c r="G15" i="6"/>
  <c r="B24" i="6"/>
  <c r="D16" i="6" l="1"/>
  <c r="E16" i="6" s="1"/>
  <c r="G16" i="6"/>
  <c r="B25" i="6"/>
  <c r="D24" i="6"/>
  <c r="E24" i="6" s="1"/>
  <c r="G24" i="6"/>
  <c r="G25" i="6" l="1"/>
  <c r="D25" i="6"/>
  <c r="E25" i="6" s="1"/>
</calcChain>
</file>

<file path=xl/sharedStrings.xml><?xml version="1.0" encoding="utf-8"?>
<sst xmlns="http://schemas.openxmlformats.org/spreadsheetml/2006/main" count="6442" uniqueCount="1819">
  <si>
    <t>APEX CONSUMER PRODUCTS PVT. LTD.</t>
  </si>
  <si>
    <t>Project Overview &amp; Business Scenario:</t>
  </si>
  <si>
    <t>Workbook Architecture &amp; Navigation:</t>
  </si>
  <si>
    <t>Dashboard</t>
  </si>
  <si>
    <t>Executive KPI scorecards, full-year monthly performance trends, and department/regional contributions.</t>
  </si>
  <si>
    <t>Income_Statement</t>
  </si>
  <si>
    <t>Dynamic monthly P&amp;L with yellow input cells (Year, Month, Department, Location) using multi-criteria SUMIFS.</t>
  </si>
  <si>
    <t>Department_Performance</t>
  </si>
  <si>
    <t>Department-level monthly performance comparison, Gross Margin %, and Budget vs Actual variance.</t>
  </si>
  <si>
    <t>Data_Quality</t>
  </si>
  <si>
    <t>Automated audit reconciliation panel: 8 mandatory controls verifying data integrity and GL checksums.</t>
  </si>
  <si>
    <t>Raw_Data</t>
  </si>
  <si>
    <t>430+ transaction logs with formula-driven Month Start, Account Name, and Category lookups.</t>
  </si>
  <si>
    <t>Budget</t>
  </si>
  <si>
    <t>480 monthly department budget target records for 2025 across all expense and revenue accounts.</t>
  </si>
  <si>
    <t>Accounts</t>
  </si>
  <si>
    <t>Standard Chart of Accounts (COA) mapping codes 4000 to 6400 to financial statement categories.</t>
  </si>
  <si>
    <t>Validation_Lists</t>
  </si>
  <si>
    <t>Centralized validation source ranges for drop-down controls.</t>
  </si>
  <si>
    <t>Account Code</t>
  </si>
  <si>
    <t>Account Name</t>
  </si>
  <si>
    <t>Category</t>
  </si>
  <si>
    <t>Statement</t>
  </si>
  <si>
    <t>Product Sales</t>
  </si>
  <si>
    <t>Revenue</t>
  </si>
  <si>
    <t>Income Statement</t>
  </si>
  <si>
    <t>Sales Returns &amp; Discounts</t>
  </si>
  <si>
    <t>Contra Revenue</t>
  </si>
  <si>
    <t>Cost of Goods Sold</t>
  </si>
  <si>
    <t>COGS</t>
  </si>
  <si>
    <t>Salaries &amp; Wages</t>
  </si>
  <si>
    <t>Operating Expense</t>
  </si>
  <si>
    <t>Marketing Expense</t>
  </si>
  <si>
    <t>Rent &amp; Utilities</t>
  </si>
  <si>
    <t>Logistics Expense</t>
  </si>
  <si>
    <t>Software &amp; Admin</t>
  </si>
  <si>
    <t>Year</t>
  </si>
  <si>
    <t>Month</t>
  </si>
  <si>
    <t>Department</t>
  </si>
  <si>
    <t>Location</t>
  </si>
  <si>
    <t>All</t>
  </si>
  <si>
    <t>Sales</t>
  </si>
  <si>
    <t>Mumbai</t>
  </si>
  <si>
    <t>Operations</t>
  </si>
  <si>
    <t>Pune</t>
  </si>
  <si>
    <t>Marketing</t>
  </si>
  <si>
    <t>Bengaluru</t>
  </si>
  <si>
    <t>Finance</t>
  </si>
  <si>
    <t>Human Resources</t>
  </si>
  <si>
    <t>Transaction ID</t>
  </si>
  <si>
    <t>Date</t>
  </si>
  <si>
    <t>Month Start</t>
  </si>
  <si>
    <t>Actual Amount</t>
  </si>
  <si>
    <t>TXN00034</t>
  </si>
  <si>
    <t>2025-01-01</t>
  </si>
  <si>
    <t>TXN00073</t>
  </si>
  <si>
    <t>TXN00091</t>
  </si>
  <si>
    <t>TXN00012</t>
  </si>
  <si>
    <t>2025-01-02</t>
  </si>
  <si>
    <t>TXN00050</t>
  </si>
  <si>
    <t>TXN00056</t>
  </si>
  <si>
    <t>TXN00062</t>
  </si>
  <si>
    <t>TXN00095</t>
  </si>
  <si>
    <t>TXN00008</t>
  </si>
  <si>
    <t>2025-01-03</t>
  </si>
  <si>
    <t>TXN00025</t>
  </si>
  <si>
    <t>TXN00092</t>
  </si>
  <si>
    <t>TXN00042</t>
  </si>
  <si>
    <t>2025-01-04</t>
  </si>
  <si>
    <t>TXN00048</t>
  </si>
  <si>
    <t>TXN00094</t>
  </si>
  <si>
    <t>TXN00002</t>
  </si>
  <si>
    <t>2025-01-05</t>
  </si>
  <si>
    <t>TXN00022</t>
  </si>
  <si>
    <t>TXN00033</t>
  </si>
  <si>
    <t>TXN00038</t>
  </si>
  <si>
    <t>TXN00046</t>
  </si>
  <si>
    <t>TXN00085</t>
  </si>
  <si>
    <t>TXN00026</t>
  </si>
  <si>
    <t>2025-01-06</t>
  </si>
  <si>
    <t>TXN00020</t>
  </si>
  <si>
    <t>2025-01-07</t>
  </si>
  <si>
    <t>TXN00021</t>
  </si>
  <si>
    <t>TXN00051</t>
  </si>
  <si>
    <t>TXN00076</t>
  </si>
  <si>
    <t>TXN00083</t>
  </si>
  <si>
    <t>TXN00013</t>
  </si>
  <si>
    <t>2025-01-08</t>
  </si>
  <si>
    <t>TXN00018</t>
  </si>
  <si>
    <t>TXN00036</t>
  </si>
  <si>
    <t>TXN00044</t>
  </si>
  <si>
    <t>TXN00047</t>
  </si>
  <si>
    <t>TXN00067</t>
  </si>
  <si>
    <t>TXN00088</t>
  </si>
  <si>
    <t>TXN00009</t>
  </si>
  <si>
    <t>2025-01-09</t>
  </si>
  <si>
    <t>TXN00015</t>
  </si>
  <si>
    <t>TXN00023</t>
  </si>
  <si>
    <t>TXN00052</t>
  </si>
  <si>
    <t>TXN00077</t>
  </si>
  <si>
    <t>TXN00108</t>
  </si>
  <si>
    <t>2025-01-10</t>
  </si>
  <si>
    <t>TXN00066</t>
  </si>
  <si>
    <t>2025-01-11</t>
  </si>
  <si>
    <t>TXN00024</t>
  </si>
  <si>
    <t>2025-01-12</t>
  </si>
  <si>
    <t>TXN00090</t>
  </si>
  <si>
    <t>TXN00017</t>
  </si>
  <si>
    <t>2025-01-13</t>
  </si>
  <si>
    <t>TXN00027</t>
  </si>
  <si>
    <t>TXN00093</t>
  </si>
  <si>
    <t>TXN00102</t>
  </si>
  <si>
    <t>TXN00104</t>
  </si>
  <si>
    <t>TXN00007</t>
  </si>
  <si>
    <t>2025-01-14</t>
  </si>
  <si>
    <t>TXN00030</t>
  </si>
  <si>
    <t>TXN00055</t>
  </si>
  <si>
    <t>TXN00078</t>
  </si>
  <si>
    <t>TXN00082</t>
  </si>
  <si>
    <t>TXN00096</t>
  </si>
  <si>
    <t>TXN00105</t>
  </si>
  <si>
    <t>TXN00068</t>
  </si>
  <si>
    <t>2025-01-15</t>
  </si>
  <si>
    <t>TXN00069</t>
  </si>
  <si>
    <t>TXN00106</t>
  </si>
  <si>
    <t>TXN00037</t>
  </si>
  <si>
    <t>2025-01-16</t>
  </si>
  <si>
    <t>TXN00059</t>
  </si>
  <si>
    <t>TXN00004</t>
  </si>
  <si>
    <t>2025-01-17</t>
  </si>
  <si>
    <t>TXN00031</t>
  </si>
  <si>
    <t>TXN00039</t>
  </si>
  <si>
    <t>TXN00045</t>
  </si>
  <si>
    <t>TXN00098</t>
  </si>
  <si>
    <t>TXN00043</t>
  </si>
  <si>
    <t>2025-01-18</t>
  </si>
  <si>
    <t>TXN00054</t>
  </si>
  <si>
    <t>TXN00070</t>
  </si>
  <si>
    <t>TXN00075</t>
  </si>
  <si>
    <t>TXN00080</t>
  </si>
  <si>
    <t>TXN00081</t>
  </si>
  <si>
    <t>TXN00084</t>
  </si>
  <si>
    <t>TXN00003</t>
  </si>
  <si>
    <t>2025-01-19</t>
  </si>
  <si>
    <t>TXN00061</t>
  </si>
  <si>
    <t>TXN00097</t>
  </si>
  <si>
    <t>TXN00063</t>
  </si>
  <si>
    <t>2025-01-20</t>
  </si>
  <si>
    <t>TXN00065</t>
  </si>
  <si>
    <t>TXN00001</t>
  </si>
  <si>
    <t>2025-01-21</t>
  </si>
  <si>
    <t>TXN00016</t>
  </si>
  <si>
    <t>TXN00032</t>
  </si>
  <si>
    <t>TXN00079</t>
  </si>
  <si>
    <t>TXN00041</t>
  </si>
  <si>
    <t>2025-01-22</t>
  </si>
  <si>
    <t>TXN00103</t>
  </si>
  <si>
    <t>TXN00005</t>
  </si>
  <si>
    <t>2025-01-23</t>
  </si>
  <si>
    <t>TXN00072</t>
  </si>
  <si>
    <t>TXN00060</t>
  </si>
  <si>
    <t>2025-01-24</t>
  </si>
  <si>
    <t>TXN00099</t>
  </si>
  <si>
    <t>TXN00029</t>
  </si>
  <si>
    <t>2025-01-25</t>
  </si>
  <si>
    <t>TXN00040</t>
  </si>
  <si>
    <t>TXN00006</t>
  </si>
  <si>
    <t>2025-01-26</t>
  </si>
  <si>
    <t>TXN00053</t>
  </si>
  <si>
    <t>TXN00110</t>
  </si>
  <si>
    <t>TXN00014</t>
  </si>
  <si>
    <t>2025-01-27</t>
  </si>
  <si>
    <t>TXN00019</t>
  </si>
  <si>
    <t>TXN00109</t>
  </si>
  <si>
    <t>TXN00028</t>
  </si>
  <si>
    <t>2025-01-28</t>
  </si>
  <si>
    <t>TXN00049</t>
  </si>
  <si>
    <t>TXN00089</t>
  </si>
  <si>
    <t>TXN00011</t>
  </si>
  <si>
    <t>2025-01-29</t>
  </si>
  <si>
    <t>TXN00035</t>
  </si>
  <si>
    <t>TXN00071</t>
  </si>
  <si>
    <t>TXN00086</t>
  </si>
  <si>
    <t>TXN00101</t>
  </si>
  <si>
    <t>TXN00107</t>
  </si>
  <si>
    <t>TXN00010</t>
  </si>
  <si>
    <t>2025-01-30</t>
  </si>
  <si>
    <t>TXN00057</t>
  </si>
  <si>
    <t>TXN00087</t>
  </si>
  <si>
    <t>TXN00100</t>
  </si>
  <si>
    <t>TXN00058</t>
  </si>
  <si>
    <t>2025-01-31</t>
  </si>
  <si>
    <t>TXN00064</t>
  </si>
  <si>
    <t>TXN00074</t>
  </si>
  <si>
    <t>TXN00126</t>
  </si>
  <si>
    <t>2025-02-01</t>
  </si>
  <si>
    <t>TXN00127</t>
  </si>
  <si>
    <t>TXN00132</t>
  </si>
  <si>
    <t>TXN00154</t>
  </si>
  <si>
    <t>TXN00201</t>
  </si>
  <si>
    <t>TXN00115</t>
  </si>
  <si>
    <t>2025-02-02</t>
  </si>
  <si>
    <t>TXN00134</t>
  </si>
  <si>
    <t>TXN00146</t>
  </si>
  <si>
    <t>TXN00176</t>
  </si>
  <si>
    <t>TXN00183</t>
  </si>
  <si>
    <t>TXN00214</t>
  </si>
  <si>
    <t>TXN00133</t>
  </si>
  <si>
    <t>2025-02-03</t>
  </si>
  <si>
    <t>TXN00180</t>
  </si>
  <si>
    <t>TXN00186</t>
  </si>
  <si>
    <t>TXN00142</t>
  </si>
  <si>
    <t>2025-02-04</t>
  </si>
  <si>
    <t>TXN00202</t>
  </si>
  <si>
    <t>TXN00116</t>
  </si>
  <si>
    <t>2025-02-05</t>
  </si>
  <si>
    <t>TXN00172</t>
  </si>
  <si>
    <t>TXN00131</t>
  </si>
  <si>
    <t>2025-02-06</t>
  </si>
  <si>
    <t>TXN00164</t>
  </si>
  <si>
    <t>2025-02-07</t>
  </si>
  <si>
    <t>TXN00166</t>
  </si>
  <si>
    <t>TXN00177</t>
  </si>
  <si>
    <t>TXN00113</t>
  </si>
  <si>
    <t>2025-02-08</t>
  </si>
  <si>
    <t>TXN00114</t>
  </si>
  <si>
    <t>TXN00129</t>
  </si>
  <si>
    <t>TXN00139</t>
  </si>
  <si>
    <t>TXN00157</t>
  </si>
  <si>
    <t>TXN00173</t>
  </si>
  <si>
    <t>TXN00182</t>
  </si>
  <si>
    <t>TXN00204</t>
  </si>
  <si>
    <t>TXN00156</t>
  </si>
  <si>
    <t>2025-02-09</t>
  </si>
  <si>
    <t>TXN00162</t>
  </si>
  <si>
    <t>TXN00159</t>
  </si>
  <si>
    <t>2025-02-10</t>
  </si>
  <si>
    <t>TXN00168</t>
  </si>
  <si>
    <t>TXN00179</t>
  </si>
  <si>
    <t>TXN00184</t>
  </si>
  <si>
    <t>TXN00117</t>
  </si>
  <si>
    <t>2025-02-11</t>
  </si>
  <si>
    <t>TXN00122</t>
  </si>
  <si>
    <t>TXN00135</t>
  </si>
  <si>
    <t>TXN00170</t>
  </si>
  <si>
    <t>TXN00195</t>
  </si>
  <si>
    <t>TXN00210</t>
  </si>
  <si>
    <t>TXN00137</t>
  </si>
  <si>
    <t>2025-02-12</t>
  </si>
  <si>
    <t>TXN00155</t>
  </si>
  <si>
    <t>TXN00160</t>
  </si>
  <si>
    <t>TXN00209</t>
  </si>
  <si>
    <t>TXN00123</t>
  </si>
  <si>
    <t>2025-02-13</t>
  </si>
  <si>
    <t>TXN00130</t>
  </si>
  <si>
    <t>TXN00143</t>
  </si>
  <si>
    <t>TXN00185</t>
  </si>
  <si>
    <t>TXN00211</t>
  </si>
  <si>
    <t>TXN00218</t>
  </si>
  <si>
    <t>TXN00118</t>
  </si>
  <si>
    <t>2025-02-14</t>
  </si>
  <si>
    <t>TXN00124</t>
  </si>
  <si>
    <t>TXN00151</t>
  </si>
  <si>
    <t>TXN00192</t>
  </si>
  <si>
    <t>TXN00193</t>
  </si>
  <si>
    <t>TXN00119</t>
  </si>
  <si>
    <t>2025-02-15</t>
  </si>
  <si>
    <t>TXN00121</t>
  </si>
  <si>
    <t>TXN00140</t>
  </si>
  <si>
    <t>TXN00199</t>
  </si>
  <si>
    <t>TXN00148</t>
  </si>
  <si>
    <t>2025-02-16</t>
  </si>
  <si>
    <t>TXN00158</t>
  </si>
  <si>
    <t>TXN00217</t>
  </si>
  <si>
    <t>TXN00147</t>
  </si>
  <si>
    <t>2025-02-17</t>
  </si>
  <si>
    <t>TXN00197</t>
  </si>
  <si>
    <t>TXN00203</t>
  </si>
  <si>
    <t>TXN00128</t>
  </si>
  <si>
    <t>2025-02-18</t>
  </si>
  <si>
    <t>TXN00161</t>
  </si>
  <si>
    <t>TXN00178</t>
  </si>
  <si>
    <t>TXN00219</t>
  </si>
  <si>
    <t>TXN00112</t>
  </si>
  <si>
    <t>2025-02-19</t>
  </si>
  <si>
    <t>TXN00188</t>
  </si>
  <si>
    <t>TXN00189</t>
  </si>
  <si>
    <t>TXN00111</t>
  </si>
  <si>
    <t>2025-02-20</t>
  </si>
  <si>
    <t>TXN00141</t>
  </si>
  <si>
    <t>TXN00150</t>
  </si>
  <si>
    <t>TXN00187</t>
  </si>
  <si>
    <t>TXN00200</t>
  </si>
  <si>
    <t>TXN00205</t>
  </si>
  <si>
    <t>TXN00190</t>
  </si>
  <si>
    <t>2025-02-21</t>
  </si>
  <si>
    <t>TXN00191</t>
  </si>
  <si>
    <t>TXN00181</t>
  </si>
  <si>
    <t>2025-02-22</t>
  </si>
  <si>
    <t>TXN00196</t>
  </si>
  <si>
    <t>TXN00208</t>
  </si>
  <si>
    <t>TXN00213</t>
  </si>
  <si>
    <t>TXN00144</t>
  </si>
  <si>
    <t>2025-02-23</t>
  </si>
  <si>
    <t>TXN00149</t>
  </si>
  <si>
    <t>TXN00167</t>
  </si>
  <si>
    <t>TXN00163</t>
  </si>
  <si>
    <t>2025-02-24</t>
  </si>
  <si>
    <t>TXN00212</t>
  </si>
  <si>
    <t>TXN00216</t>
  </si>
  <si>
    <t>TXN00120</t>
  </si>
  <si>
    <t>2025-02-25</t>
  </si>
  <si>
    <t>TXN00138</t>
  </si>
  <si>
    <t>TXN00153</t>
  </si>
  <si>
    <t>TXN00165</t>
  </si>
  <si>
    <t>TXN00174</t>
  </si>
  <si>
    <t>TXN00194</t>
  </si>
  <si>
    <t>TXN00198</t>
  </si>
  <si>
    <t>TXN00206</t>
  </si>
  <si>
    <t>TXN00220</t>
  </si>
  <si>
    <t>TXN00125</t>
  </si>
  <si>
    <t>2025-02-27</t>
  </si>
  <si>
    <t>TXN00136</t>
  </si>
  <si>
    <t>TXN00152</t>
  </si>
  <si>
    <t>TXN00171</t>
  </si>
  <si>
    <t>TXN00207</t>
  </si>
  <si>
    <t>TXN00145</t>
  </si>
  <si>
    <t>2025-02-28</t>
  </si>
  <si>
    <t>TXN00169</t>
  </si>
  <si>
    <t>TXN00175</t>
  </si>
  <si>
    <t>TXN00215</t>
  </si>
  <si>
    <t>TXN00246</t>
  </si>
  <si>
    <t>2025-03-01</t>
  </si>
  <si>
    <t>TXN00291</t>
  </si>
  <si>
    <t>TXN00307</t>
  </si>
  <si>
    <t>TXN00224</t>
  </si>
  <si>
    <t>2025-03-02</t>
  </si>
  <si>
    <t>TXN00258</t>
  </si>
  <si>
    <t>TXN00269</t>
  </si>
  <si>
    <t>TXN00282</t>
  </si>
  <si>
    <t>TXN00319</t>
  </si>
  <si>
    <t>TXN00320</t>
  </si>
  <si>
    <t>TXN00328</t>
  </si>
  <si>
    <t>TXN00222</t>
  </si>
  <si>
    <t>2025-03-03</t>
  </si>
  <si>
    <t>TXN00240</t>
  </si>
  <si>
    <t>TXN00292</t>
  </si>
  <si>
    <t>TXN00295</t>
  </si>
  <si>
    <t>TXN00232</t>
  </si>
  <si>
    <t>2025-03-04</t>
  </si>
  <si>
    <t>TXN00252</t>
  </si>
  <si>
    <t>TXN00255</t>
  </si>
  <si>
    <t>TXN00283</t>
  </si>
  <si>
    <t>TXN00287</t>
  </si>
  <si>
    <t>TXN00309</t>
  </si>
  <si>
    <t>TXN00329</t>
  </si>
  <si>
    <t>TXN00251</t>
  </si>
  <si>
    <t>2025-03-05</t>
  </si>
  <si>
    <t>TXN00261</t>
  </si>
  <si>
    <t>TXN00265</t>
  </si>
  <si>
    <t>TXN00273</t>
  </si>
  <si>
    <t>TXN00226</t>
  </si>
  <si>
    <t>2025-03-06</t>
  </si>
  <si>
    <t>TXN00290</t>
  </si>
  <si>
    <t>TXN00294</t>
  </si>
  <si>
    <t>TXN00241</t>
  </si>
  <si>
    <t>2025-03-07</t>
  </si>
  <si>
    <t>TXN00221</t>
  </si>
  <si>
    <t>2025-03-08</t>
  </si>
  <si>
    <t>TXN00286</t>
  </si>
  <si>
    <t>TXN00303</t>
  </si>
  <si>
    <t>TXN00313</t>
  </si>
  <si>
    <t>TXN00228</t>
  </si>
  <si>
    <t>2025-03-09</t>
  </si>
  <si>
    <t>TXN00234</t>
  </si>
  <si>
    <t>TXN00229</t>
  </si>
  <si>
    <t>2025-03-10</t>
  </si>
  <si>
    <t>TXN00270</t>
  </si>
  <si>
    <t>TXN00275</t>
  </si>
  <si>
    <t>TXN00266</t>
  </si>
  <si>
    <t>2025-03-11</t>
  </si>
  <si>
    <t>TXN00279</t>
  </si>
  <si>
    <t>TXN00253</t>
  </si>
  <si>
    <t>2025-03-12</t>
  </si>
  <si>
    <t>TXN00257</t>
  </si>
  <si>
    <t>TXN00285</t>
  </si>
  <si>
    <t>TXN00298</t>
  </si>
  <si>
    <t>TXN00304</t>
  </si>
  <si>
    <t>2025-03-13</t>
  </si>
  <si>
    <t>TXN00306</t>
  </si>
  <si>
    <t>TXN00310</t>
  </si>
  <si>
    <t>TXN00225</t>
  </si>
  <si>
    <t>2025-03-14</t>
  </si>
  <si>
    <t>TXN00277</t>
  </si>
  <si>
    <t>TXN00281</t>
  </si>
  <si>
    <t>TXN00231</t>
  </si>
  <si>
    <t>2025-03-15</t>
  </si>
  <si>
    <t>TXN00244</t>
  </si>
  <si>
    <t>TXN00250</t>
  </si>
  <si>
    <t>TXN00278</t>
  </si>
  <si>
    <t>TXN00315</t>
  </si>
  <si>
    <t>TXN00326</t>
  </si>
  <si>
    <t>TXN00227</t>
  </si>
  <si>
    <t>2025-03-16</t>
  </si>
  <si>
    <t>TXN00299</t>
  </si>
  <si>
    <t>TXN00318</t>
  </si>
  <si>
    <t>TXN00242</t>
  </si>
  <si>
    <t>2025-03-17</t>
  </si>
  <si>
    <t>TXN00267</t>
  </si>
  <si>
    <t>TXN00268</t>
  </si>
  <si>
    <t>TXN00312</t>
  </si>
  <si>
    <t>TXN00325</t>
  </si>
  <si>
    <t>TXN00264</t>
  </si>
  <si>
    <t>2025-03-18</t>
  </si>
  <si>
    <t>TXN00274</t>
  </si>
  <si>
    <t>TXN00288</t>
  </si>
  <si>
    <t>TXN00230</t>
  </si>
  <si>
    <t>2025-03-19</t>
  </si>
  <si>
    <t>TXN00247</t>
  </si>
  <si>
    <t>TXN00254</t>
  </si>
  <si>
    <t>TXN00262</t>
  </si>
  <si>
    <t>TXN00237</t>
  </si>
  <si>
    <t>2025-03-20</t>
  </si>
  <si>
    <t>TXN00260</t>
  </si>
  <si>
    <t>TXN00289</t>
  </si>
  <si>
    <t>TXN00297</t>
  </si>
  <si>
    <t>TXN00300</t>
  </si>
  <si>
    <t>TXN00321</t>
  </si>
  <si>
    <t>TXN00238</t>
  </si>
  <si>
    <t>2025-03-21</t>
  </si>
  <si>
    <t>TXN00323</t>
  </si>
  <si>
    <t>TXN00248</t>
  </si>
  <si>
    <t>2025-03-22</t>
  </si>
  <si>
    <t>TXN00296</t>
  </si>
  <si>
    <t>TXN00233</t>
  </si>
  <si>
    <t>2025-03-23</t>
  </si>
  <si>
    <t>TXN00256</t>
  </si>
  <si>
    <t>TXN00276</t>
  </si>
  <si>
    <t>TXN00293</t>
  </si>
  <si>
    <t>2025-03-24</t>
  </si>
  <si>
    <t>TXN00302</t>
  </si>
  <si>
    <t>TXN00301</t>
  </si>
  <si>
    <t>2025-03-25</t>
  </si>
  <si>
    <t>TXN00311</t>
  </si>
  <si>
    <t>TXN00314</t>
  </si>
  <si>
    <t>TXN00236</t>
  </si>
  <si>
    <t>2025-03-26</t>
  </si>
  <si>
    <t>TXN00239</t>
  </si>
  <si>
    <t>TXN00263</t>
  </si>
  <si>
    <t>TXN00259</t>
  </si>
  <si>
    <t>2025-03-27</t>
  </si>
  <si>
    <t>TXN00308</t>
  </si>
  <si>
    <t>TXN00223</t>
  </si>
  <si>
    <t>2025-03-28</t>
  </si>
  <si>
    <t>TXN00271</t>
  </si>
  <si>
    <t>TXN00317</t>
  </si>
  <si>
    <t>TXN00330</t>
  </si>
  <si>
    <t>TXN00235</t>
  </si>
  <si>
    <t>2025-03-30</t>
  </si>
  <si>
    <t>TXN00249</t>
  </si>
  <si>
    <t>TXN00272</t>
  </si>
  <si>
    <t>TXN00280</t>
  </si>
  <si>
    <t>TXN00284</t>
  </si>
  <si>
    <t>TXN00305</t>
  </si>
  <si>
    <t>TXN00316</t>
  </si>
  <si>
    <t>TXN00327</t>
  </si>
  <si>
    <t>TXN00243</t>
  </si>
  <si>
    <t>2025-03-31</t>
  </si>
  <si>
    <t>TXN00245</t>
  </si>
  <si>
    <t>TXN00322</t>
  </si>
  <si>
    <t>TXN00324</t>
  </si>
  <si>
    <t>TXN00336</t>
  </si>
  <si>
    <t>2025-04-01</t>
  </si>
  <si>
    <t>TXN00361</t>
  </si>
  <si>
    <t>TXN00372</t>
  </si>
  <si>
    <t>2025-04-02</t>
  </si>
  <si>
    <t>TXN00374</t>
  </si>
  <si>
    <t>TXN00428</t>
  </si>
  <si>
    <t>TXN00431</t>
  </si>
  <si>
    <t>TXN00436</t>
  </si>
  <si>
    <t>TXN00331</t>
  </si>
  <si>
    <t>2025-04-03</t>
  </si>
  <si>
    <t>TXN00333</t>
  </si>
  <si>
    <t>TXN00338</t>
  </si>
  <si>
    <t>TXN00350</t>
  </si>
  <si>
    <t>TXN00357</t>
  </si>
  <si>
    <t>TXN00360</t>
  </si>
  <si>
    <t>TXN00364</t>
  </si>
  <si>
    <t>TXN00402</t>
  </si>
  <si>
    <t>TXN00391</t>
  </si>
  <si>
    <t>2025-04-04</t>
  </si>
  <si>
    <t>TXN00423</t>
  </si>
  <si>
    <t>TXN00386</t>
  </si>
  <si>
    <t>2025-04-05</t>
  </si>
  <si>
    <t>TXN00387</t>
  </si>
  <si>
    <t>TXN00404</t>
  </si>
  <si>
    <t>TXN00421</t>
  </si>
  <si>
    <t>TXN00434</t>
  </si>
  <si>
    <t>TXN00341</t>
  </si>
  <si>
    <t>2025-04-06</t>
  </si>
  <si>
    <t>TXN00412</t>
  </si>
  <si>
    <t>TXN00394</t>
  </si>
  <si>
    <t>2025-04-07</t>
  </si>
  <si>
    <t>TXN00425</t>
  </si>
  <si>
    <t>TXN00343</t>
  </si>
  <si>
    <t>2025-04-08</t>
  </si>
  <si>
    <t>TXN00344</t>
  </si>
  <si>
    <t>TXN00354</t>
  </si>
  <si>
    <t>TXN00367</t>
  </si>
  <si>
    <t>TXN00399</t>
  </si>
  <si>
    <t>TXN00422</t>
  </si>
  <si>
    <t>TXN00424</t>
  </si>
  <si>
    <t>TXN00366</t>
  </si>
  <si>
    <t>2025-04-09</t>
  </si>
  <si>
    <t>TXN00410</t>
  </si>
  <si>
    <t>TXN00415</t>
  </si>
  <si>
    <t>TXN00433</t>
  </si>
  <si>
    <t>TXN00359</t>
  </si>
  <si>
    <t>2025-04-10</t>
  </si>
  <si>
    <t>TXN00362</t>
  </si>
  <si>
    <t>TXN00381</t>
  </si>
  <si>
    <t>TXN00408</t>
  </si>
  <si>
    <t>TXN00418</t>
  </si>
  <si>
    <t>TXN00429</t>
  </si>
  <si>
    <t>TXN00420</t>
  </si>
  <si>
    <t>2025-04-11</t>
  </si>
  <si>
    <t>TXN00438</t>
  </si>
  <si>
    <t>TXN00385</t>
  </si>
  <si>
    <t>2025-04-12</t>
  </si>
  <si>
    <t>TXN00389</t>
  </si>
  <si>
    <t>TXN00409</t>
  </si>
  <si>
    <t>TXN00353</t>
  </si>
  <si>
    <t>2025-04-13</t>
  </si>
  <si>
    <t>TXN00365</t>
  </si>
  <si>
    <t>TXN00388</t>
  </si>
  <si>
    <t>TXN00347</t>
  </si>
  <si>
    <t>2025-04-14</t>
  </si>
  <si>
    <t>TXN00363</t>
  </si>
  <si>
    <t>TXN00419</t>
  </si>
  <si>
    <t>TXN00346</t>
  </si>
  <si>
    <t>2025-04-15</t>
  </si>
  <si>
    <t>TXN00352</t>
  </si>
  <si>
    <t>TXN00393</t>
  </si>
  <si>
    <t>TXN00401</t>
  </si>
  <si>
    <t>TXN00426</t>
  </si>
  <si>
    <t>2025-04-16</t>
  </si>
  <si>
    <t>TXN00335</t>
  </si>
  <si>
    <t>2025-04-17</t>
  </si>
  <si>
    <t>TXN00373</t>
  </si>
  <si>
    <t>TXN00390</t>
  </si>
  <si>
    <t>TXN00403</t>
  </si>
  <si>
    <t>TXN00427</t>
  </si>
  <si>
    <t>TXN00437</t>
  </si>
  <si>
    <t>TXN00380</t>
  </si>
  <si>
    <t>2025-04-18</t>
  </si>
  <si>
    <t>TXN00397</t>
  </si>
  <si>
    <t>TXN00432</t>
  </si>
  <si>
    <t>TXN00440</t>
  </si>
  <si>
    <t>TXN00406</t>
  </si>
  <si>
    <t>2025-04-19</t>
  </si>
  <si>
    <t>TXN00413</t>
  </si>
  <si>
    <t>2025-04-20</t>
  </si>
  <si>
    <t>TXN00332</t>
  </si>
  <si>
    <t>2025-04-21</t>
  </si>
  <si>
    <t>TXN00411</t>
  </si>
  <si>
    <t>TXN00416</t>
  </si>
  <si>
    <t>TXN00417</t>
  </si>
  <si>
    <t>TXN00334</t>
  </si>
  <si>
    <t>2025-04-22</t>
  </si>
  <si>
    <t>TXN00405</t>
  </si>
  <si>
    <t>TXN00370</t>
  </si>
  <si>
    <t>2025-04-23</t>
  </si>
  <si>
    <t>TXN00371</t>
  </si>
  <si>
    <t>TXN00378</t>
  </si>
  <si>
    <t>TXN00382</t>
  </si>
  <si>
    <t>TXN00398</t>
  </si>
  <si>
    <t>TXN00342</t>
  </si>
  <si>
    <t>2025-04-24</t>
  </si>
  <si>
    <t>TXN00358</t>
  </si>
  <si>
    <t>TXN00439</t>
  </si>
  <si>
    <t>TXN00337</t>
  </si>
  <si>
    <t>2025-04-25</t>
  </si>
  <si>
    <t>TXN00356</t>
  </si>
  <si>
    <t>TXN00368</t>
  </si>
  <si>
    <t>TXN00375</t>
  </si>
  <si>
    <t>TXN00435</t>
  </si>
  <si>
    <t>TXN00355</t>
  </si>
  <si>
    <t>2025-04-26</t>
  </si>
  <si>
    <t>TXN00376</t>
  </si>
  <si>
    <t>TXN00379</t>
  </si>
  <si>
    <t>TXN00384</t>
  </si>
  <si>
    <t>TXN00400</t>
  </si>
  <si>
    <t>TXN00339</t>
  </si>
  <si>
    <t>2025-04-27</t>
  </si>
  <si>
    <t>TXN00345</t>
  </si>
  <si>
    <t>TXN00351</t>
  </si>
  <si>
    <t>TXN00369</t>
  </si>
  <si>
    <t>TXN00414</t>
  </si>
  <si>
    <t>TXN00348</t>
  </si>
  <si>
    <t>2025-04-28</t>
  </si>
  <si>
    <t>TXN00396</t>
  </si>
  <si>
    <t>TXN00340</t>
  </si>
  <si>
    <t>2025-04-29</t>
  </si>
  <si>
    <t>TXN00377</t>
  </si>
  <si>
    <t>TXN00395</t>
  </si>
  <si>
    <t>TXN00430</t>
  </si>
  <si>
    <t>TXN00349</t>
  </si>
  <si>
    <t>2025-04-30</t>
  </si>
  <si>
    <t>TXN00383</t>
  </si>
  <si>
    <t>TXN00392</t>
  </si>
  <si>
    <t>TXN00407</t>
  </si>
  <si>
    <t>TXN00441</t>
  </si>
  <si>
    <t>2025-05-01</t>
  </si>
  <si>
    <t>TXN00443</t>
  </si>
  <si>
    <t>TXN00477</t>
  </si>
  <si>
    <t>TXN00481</t>
  </si>
  <si>
    <t>TXN00534</t>
  </si>
  <si>
    <t>TXN00545</t>
  </si>
  <si>
    <t>TXN00546</t>
  </si>
  <si>
    <t>TXN00459</t>
  </si>
  <si>
    <t>2025-05-02</t>
  </si>
  <si>
    <t>TXN00468</t>
  </si>
  <si>
    <t>TXN00491</t>
  </si>
  <si>
    <t>TXN00502</t>
  </si>
  <si>
    <t>2025-05-03</t>
  </si>
  <si>
    <t>TXN00525</t>
  </si>
  <si>
    <t>TXN00542</t>
  </si>
  <si>
    <t>TXN00447</t>
  </si>
  <si>
    <t>2025-05-04</t>
  </si>
  <si>
    <t>TXN00480</t>
  </si>
  <si>
    <t>TXN00493</t>
  </si>
  <si>
    <t>TXN00528</t>
  </si>
  <si>
    <t>TXN00532</t>
  </si>
  <si>
    <t>TXN00446</t>
  </si>
  <si>
    <t>2025-05-05</t>
  </si>
  <si>
    <t>TXN00450</t>
  </si>
  <si>
    <t>TXN00465</t>
  </si>
  <si>
    <t>TXN00539</t>
  </si>
  <si>
    <t>TXN00548</t>
  </si>
  <si>
    <t>TXN00476</t>
  </si>
  <si>
    <t>2025-05-06</t>
  </si>
  <si>
    <t>TXN00467</t>
  </si>
  <si>
    <t>2025-05-07</t>
  </si>
  <si>
    <t>TXN00509</t>
  </si>
  <si>
    <t>TXN00511</t>
  </si>
  <si>
    <t>TXN00526</t>
  </si>
  <si>
    <t>TXN00510</t>
  </si>
  <si>
    <t>2025-05-08</t>
  </si>
  <si>
    <t>TXN00522</t>
  </si>
  <si>
    <t>TXN00461</t>
  </si>
  <si>
    <t>2025-05-09</t>
  </si>
  <si>
    <t>TXN00507</t>
  </si>
  <si>
    <t>TXN00524</t>
  </si>
  <si>
    <t>TXN00537</t>
  </si>
  <si>
    <t>TXN00549</t>
  </si>
  <si>
    <t>TXN00442</t>
  </si>
  <si>
    <t>2025-05-10</t>
  </si>
  <si>
    <t>TXN00457</t>
  </si>
  <si>
    <t>TXN00482</t>
  </si>
  <si>
    <t>TXN00484</t>
  </si>
  <si>
    <t>TXN00505</t>
  </si>
  <si>
    <t>TXN00512</t>
  </si>
  <si>
    <t>TXN00514</t>
  </si>
  <si>
    <t>TXN00535</t>
  </si>
  <si>
    <t>TXN00456</t>
  </si>
  <si>
    <t>2025-05-11</t>
  </si>
  <si>
    <t>TXN00530</t>
  </si>
  <si>
    <t>TXN00483</t>
  </si>
  <si>
    <t>2025-05-12</t>
  </si>
  <si>
    <t>TXN00501</t>
  </si>
  <si>
    <t>TXN00531</t>
  </si>
  <si>
    <t>TXN00533</t>
  </si>
  <si>
    <t>TXN00543</t>
  </si>
  <si>
    <t>TXN00506</t>
  </si>
  <si>
    <t>2025-05-13</t>
  </si>
  <si>
    <t>TXN00448</t>
  </si>
  <si>
    <t>2025-05-14</t>
  </si>
  <si>
    <t>TXN00464</t>
  </si>
  <si>
    <t>TXN00498</t>
  </si>
  <si>
    <t>TXN00500</t>
  </si>
  <si>
    <t>TXN00515</t>
  </si>
  <si>
    <t>TXN00521</t>
  </si>
  <si>
    <t>TXN00487</t>
  </si>
  <si>
    <t>2025-05-15</t>
  </si>
  <si>
    <t>TXN00490</t>
  </si>
  <si>
    <t>TXN00445</t>
  </si>
  <si>
    <t>2025-05-16</t>
  </si>
  <si>
    <t>TXN00449</t>
  </si>
  <si>
    <t>TXN00451</t>
  </si>
  <si>
    <t>2025-05-17</t>
  </si>
  <si>
    <t>TXN00475</t>
  </si>
  <si>
    <t>TXN00495</t>
  </si>
  <si>
    <t>TXN00504</t>
  </si>
  <si>
    <t>TXN00452</t>
  </si>
  <si>
    <t>2025-05-18</t>
  </si>
  <si>
    <t>TXN00469</t>
  </si>
  <si>
    <t>TXN00488</t>
  </si>
  <si>
    <t>TXN00492</t>
  </si>
  <si>
    <t>TXN00513</t>
  </si>
  <si>
    <t>2025-05-19</t>
  </si>
  <si>
    <t>TXN00550</t>
  </si>
  <si>
    <t>TXN00462</t>
  </si>
  <si>
    <t>2025-05-20</t>
  </si>
  <si>
    <t>TXN00473</t>
  </si>
  <si>
    <t>TXN00486</t>
  </si>
  <si>
    <t>TXN00529</t>
  </si>
  <si>
    <t>TXN00453</t>
  </si>
  <si>
    <t>2025-05-21</t>
  </si>
  <si>
    <t>TXN00460</t>
  </si>
  <si>
    <t>TXN00466</t>
  </si>
  <si>
    <t>TXN00474</t>
  </si>
  <si>
    <t>TXN00503</t>
  </si>
  <si>
    <t>TXN00516</t>
  </si>
  <si>
    <t>TXN00496</t>
  </si>
  <si>
    <t>2025-05-22</t>
  </si>
  <si>
    <t>TXN00544</t>
  </si>
  <si>
    <t>TXN00485</t>
  </si>
  <si>
    <t>2025-05-23</t>
  </si>
  <si>
    <t>TXN00518</t>
  </si>
  <si>
    <t>TXN00538</t>
  </si>
  <si>
    <t>2025-05-24</t>
  </si>
  <si>
    <t>TXN00444</t>
  </si>
  <si>
    <t>2025-05-25</t>
  </si>
  <si>
    <t>TXN00455</t>
  </si>
  <si>
    <t>TXN00478</t>
  </si>
  <si>
    <t>TXN00489</t>
  </si>
  <si>
    <t>TXN00519</t>
  </si>
  <si>
    <t>TXN00541</t>
  </si>
  <si>
    <t>TXN00508</t>
  </si>
  <si>
    <t>2025-05-26</t>
  </si>
  <si>
    <t>TXN00458</t>
  </si>
  <si>
    <t>2025-05-27</t>
  </si>
  <si>
    <t>TXN00471</t>
  </si>
  <si>
    <t>TXN00479</t>
  </si>
  <si>
    <t>TXN00497</t>
  </si>
  <si>
    <t>TXN00536</t>
  </si>
  <si>
    <t>TXN00520</t>
  </si>
  <si>
    <t>2025-05-28</t>
  </si>
  <si>
    <t>TXN00523</t>
  </si>
  <si>
    <t>TXN00463</t>
  </si>
  <si>
    <t>2025-05-29</t>
  </si>
  <si>
    <t>TXN00494</t>
  </si>
  <si>
    <t>TXN00499</t>
  </si>
  <si>
    <t>TXN00470</t>
  </si>
  <si>
    <t>2025-05-30</t>
  </si>
  <si>
    <t>TXN00472</t>
  </si>
  <si>
    <t>TXN00454</t>
  </si>
  <si>
    <t>2025-05-31</t>
  </si>
  <si>
    <t>TXN00517</t>
  </si>
  <si>
    <t>TXN00527</t>
  </si>
  <si>
    <t>TXN00540</t>
  </si>
  <si>
    <t>TXN00547</t>
  </si>
  <si>
    <t>TXN00553</t>
  </si>
  <si>
    <t>2025-06-01</t>
  </si>
  <si>
    <t>TXN00572</t>
  </si>
  <si>
    <t>TXN00636</t>
  </si>
  <si>
    <t>2025-06-02</t>
  </si>
  <si>
    <t>TXN00656</t>
  </si>
  <si>
    <t>TXN00562</t>
  </si>
  <si>
    <t>2025-06-03</t>
  </si>
  <si>
    <t>TXN00574</t>
  </si>
  <si>
    <t>TXN00617</t>
  </si>
  <si>
    <t>TXN00586</t>
  </si>
  <si>
    <t>2025-06-04</t>
  </si>
  <si>
    <t>TXN00601</t>
  </si>
  <si>
    <t>TXN00604</t>
  </si>
  <si>
    <t>TXN00618</t>
  </si>
  <si>
    <t>TXN00633</t>
  </si>
  <si>
    <t>TXN00660</t>
  </si>
  <si>
    <t>TXN00582</t>
  </si>
  <si>
    <t>2025-06-05</t>
  </si>
  <si>
    <t>TXN00590</t>
  </si>
  <si>
    <t>TXN00639</t>
  </si>
  <si>
    <t>TXN00641</t>
  </si>
  <si>
    <t>TXN00635</t>
  </si>
  <si>
    <t>2025-06-06</t>
  </si>
  <si>
    <t>TXN00637</t>
  </si>
  <si>
    <t>TXN00658</t>
  </si>
  <si>
    <t>2025-06-07</t>
  </si>
  <si>
    <t>TXN00565</t>
  </si>
  <si>
    <t>2025-06-08</t>
  </si>
  <si>
    <t>TXN00585</t>
  </si>
  <si>
    <t>TXN00657</t>
  </si>
  <si>
    <t>TXN00577</t>
  </si>
  <si>
    <t>2025-06-09</t>
  </si>
  <si>
    <t>TXN00578</t>
  </si>
  <si>
    <t>TXN00632</t>
  </si>
  <si>
    <t>TXN00638</t>
  </si>
  <si>
    <t>TXN00655</t>
  </si>
  <si>
    <t>TXN00576</t>
  </si>
  <si>
    <t>2025-06-10</t>
  </si>
  <si>
    <t>TXN00605</t>
  </si>
  <si>
    <t>TXN00558</t>
  </si>
  <si>
    <t>2025-06-11</t>
  </si>
  <si>
    <t>TXN00569</t>
  </si>
  <si>
    <t>TXN00581</t>
  </si>
  <si>
    <t>TXN00613</t>
  </si>
  <si>
    <t>TXN00650</t>
  </si>
  <si>
    <t>TXN00570</t>
  </si>
  <si>
    <t>2025-06-12</t>
  </si>
  <si>
    <t>TXN00552</t>
  </si>
  <si>
    <t>2025-06-13</t>
  </si>
  <si>
    <t>TXN00561</t>
  </si>
  <si>
    <t>TXN00568</t>
  </si>
  <si>
    <t>TXN00643</t>
  </si>
  <si>
    <t>TXN00563</t>
  </si>
  <si>
    <t>2025-06-14</t>
  </si>
  <si>
    <t>TXN00571</t>
  </si>
  <si>
    <t>TXN00597</t>
  </si>
  <si>
    <t>TXN00619</t>
  </si>
  <si>
    <t>TXN00579</t>
  </si>
  <si>
    <t>2025-06-15</t>
  </si>
  <si>
    <t>TXN00599</t>
  </si>
  <si>
    <t>TXN00603</t>
  </si>
  <si>
    <t>TXN00608</t>
  </si>
  <si>
    <t>TXN00630</t>
  </si>
  <si>
    <t>TXN00652</t>
  </si>
  <si>
    <t>TXN00556</t>
  </si>
  <si>
    <t>2025-06-16</t>
  </si>
  <si>
    <t>TXN00583</t>
  </si>
  <si>
    <t>TXN00592</t>
  </si>
  <si>
    <t>TXN00620</t>
  </si>
  <si>
    <t>TXN00623</t>
  </si>
  <si>
    <t>TXN00642</t>
  </si>
  <si>
    <t>TXN00645</t>
  </si>
  <si>
    <t>TXN00555</t>
  </si>
  <si>
    <t>2025-06-17</t>
  </si>
  <si>
    <t>TXN00575</t>
  </si>
  <si>
    <t>TXN00607</t>
  </si>
  <si>
    <t>TXN00614</t>
  </si>
  <si>
    <t>TXN00644</t>
  </si>
  <si>
    <t>TXN00593</t>
  </si>
  <si>
    <t>2025-06-18</t>
  </si>
  <si>
    <t>TXN00621</t>
  </si>
  <si>
    <t>TXN00627</t>
  </si>
  <si>
    <t>TXN00628</t>
  </si>
  <si>
    <t>TXN00629</t>
  </si>
  <si>
    <t>TXN00649</t>
  </si>
  <si>
    <t>TXN00612</t>
  </si>
  <si>
    <t>2025-06-19</t>
  </si>
  <si>
    <t>TXN00615</t>
  </si>
  <si>
    <t>TXN00594</t>
  </si>
  <si>
    <t>2025-06-20</t>
  </si>
  <si>
    <t>TXN00551</t>
  </si>
  <si>
    <t>2025-06-21</t>
  </si>
  <si>
    <t>TXN00596</t>
  </si>
  <si>
    <t>TXN00606</t>
  </si>
  <si>
    <t>TXN00609</t>
  </si>
  <si>
    <t>TXN00624</t>
  </si>
  <si>
    <t>TXN00651</t>
  </si>
  <si>
    <t>TXN00566</t>
  </si>
  <si>
    <t>2025-06-22</t>
  </si>
  <si>
    <t>TXN00587</t>
  </si>
  <si>
    <t>TXN00595</t>
  </si>
  <si>
    <t>TXN00659</t>
  </si>
  <si>
    <t>TXN00588</t>
  </si>
  <si>
    <t>2025-06-23</t>
  </si>
  <si>
    <t>TXN00591</t>
  </si>
  <si>
    <t>TXN00600</t>
  </si>
  <si>
    <t>TXN00611</t>
  </si>
  <si>
    <t>TXN00634</t>
  </si>
  <si>
    <t>TXN00653</t>
  </si>
  <si>
    <t>TXN00584</t>
  </si>
  <si>
    <t>2025-06-24</t>
  </si>
  <si>
    <t>TXN00598</t>
  </si>
  <si>
    <t>TXN00646</t>
  </si>
  <si>
    <t>TXN00564</t>
  </si>
  <si>
    <t>2025-06-25</t>
  </si>
  <si>
    <t>TXN00554</t>
  </si>
  <si>
    <t>2025-06-26</t>
  </si>
  <si>
    <t>TXN00567</t>
  </si>
  <si>
    <t>TXN00626</t>
  </si>
  <si>
    <t>TXN00560</t>
  </si>
  <si>
    <t>2025-06-27</t>
  </si>
  <si>
    <t>TXN00580</t>
  </si>
  <si>
    <t>TXN00589</t>
  </si>
  <si>
    <t>TXN00602</t>
  </si>
  <si>
    <t>TXN00616</t>
  </si>
  <si>
    <t>TXN00622</t>
  </si>
  <si>
    <t>TXN00625</t>
  </si>
  <si>
    <t>TXN00631</t>
  </si>
  <si>
    <t>TXN00648</t>
  </si>
  <si>
    <t>TXN00573</t>
  </si>
  <si>
    <t>2025-06-28</t>
  </si>
  <si>
    <t>TXN00640</t>
  </si>
  <si>
    <t>TXN00647</t>
  </si>
  <si>
    <t>TXN00654</t>
  </si>
  <si>
    <t>TXN00557</t>
  </si>
  <si>
    <t>2025-06-29</t>
  </si>
  <si>
    <t>TXN00610</t>
  </si>
  <si>
    <t>TXN00559</t>
  </si>
  <si>
    <t>2025-06-30</t>
  </si>
  <si>
    <t>TXN00741</t>
  </si>
  <si>
    <t>2025-07-01</t>
  </si>
  <si>
    <t>TXN00753</t>
  </si>
  <si>
    <t>TXN00673</t>
  </si>
  <si>
    <t>2025-07-02</t>
  </si>
  <si>
    <t>TXN00685</t>
  </si>
  <si>
    <t>TXN00696</t>
  </si>
  <si>
    <t>TXN00661</t>
  </si>
  <si>
    <t>2025-07-03</t>
  </si>
  <si>
    <t>TXN00664</t>
  </si>
  <si>
    <t>TXN00711</t>
  </si>
  <si>
    <t>TXN00728</t>
  </si>
  <si>
    <t>TXN00729</t>
  </si>
  <si>
    <t>TXN00709</t>
  </si>
  <si>
    <t>2025-07-04</t>
  </si>
  <si>
    <t>TXN00676</t>
  </si>
  <si>
    <t>2025-07-05</t>
  </si>
  <si>
    <t>TXN00688</t>
  </si>
  <si>
    <t>2025-07-06</t>
  </si>
  <si>
    <t>TXN00724</t>
  </si>
  <si>
    <t>TXN00743</t>
  </si>
  <si>
    <t>TXN00752</t>
  </si>
  <si>
    <t>TXN00762</t>
  </si>
  <si>
    <t>TXN00769</t>
  </si>
  <si>
    <t>TXN00727</t>
  </si>
  <si>
    <t>2025-07-07</t>
  </si>
  <si>
    <t>TXN00737</t>
  </si>
  <si>
    <t>TXN00767</t>
  </si>
  <si>
    <t>TXN00695</t>
  </si>
  <si>
    <t>2025-07-08</t>
  </si>
  <si>
    <t>TXN00698</t>
  </si>
  <si>
    <t>TXN00746</t>
  </si>
  <si>
    <t>TXN00759</t>
  </si>
  <si>
    <t>TXN00669</t>
  </si>
  <si>
    <t>2025-07-09</t>
  </si>
  <si>
    <t>TXN00699</t>
  </si>
  <si>
    <t>TXN00734</t>
  </si>
  <si>
    <t>TXN00682</t>
  </si>
  <si>
    <t>2025-07-10</t>
  </si>
  <si>
    <t>TXN00715</t>
  </si>
  <si>
    <t>TXN00749</t>
  </si>
  <si>
    <t>TXN00756</t>
  </si>
  <si>
    <t>TXN00662</t>
  </si>
  <si>
    <t>2025-07-11</t>
  </si>
  <si>
    <t>TXN00683</t>
  </si>
  <si>
    <t>TXN00691</t>
  </si>
  <si>
    <t>TXN00716</t>
  </si>
  <si>
    <t>TXN00668</t>
  </si>
  <si>
    <t>2025-07-12</t>
  </si>
  <si>
    <t>TXN00694</t>
  </si>
  <si>
    <t>TXN00703</t>
  </si>
  <si>
    <t>TXN00674</t>
  </si>
  <si>
    <t>2025-07-13</t>
  </si>
  <si>
    <t>TXN00723</t>
  </si>
  <si>
    <t>TXN00733</t>
  </si>
  <si>
    <t>2025-07-14</t>
  </si>
  <si>
    <t>TXN00665</t>
  </si>
  <si>
    <t>2025-07-15</t>
  </si>
  <si>
    <t>TXN00704</t>
  </si>
  <si>
    <t>TXN00718</t>
  </si>
  <si>
    <t>TXN00736</t>
  </si>
  <si>
    <t>2025-07-16</t>
  </si>
  <si>
    <t>TXN00675</t>
  </si>
  <si>
    <t>2025-07-17</t>
  </si>
  <si>
    <t>TXN00680</t>
  </si>
  <si>
    <t>TXN00693</t>
  </si>
  <si>
    <t>TXN00677</t>
  </si>
  <si>
    <t>2025-07-18</t>
  </si>
  <si>
    <t>TXN00770</t>
  </si>
  <si>
    <t>TXN00678</t>
  </si>
  <si>
    <t>2025-07-19</t>
  </si>
  <si>
    <t>TXN00713</t>
  </si>
  <si>
    <t>TXN00714</t>
  </si>
  <si>
    <t>TXN00748</t>
  </si>
  <si>
    <t>TXN00672</t>
  </si>
  <si>
    <t>2025-07-20</t>
  </si>
  <si>
    <t>TXN00686</t>
  </si>
  <si>
    <t>TXN00735</t>
  </si>
  <si>
    <t>TXN00750</t>
  </si>
  <si>
    <t>TXN00681</t>
  </si>
  <si>
    <t>2025-07-21</t>
  </si>
  <si>
    <t>TXN00684</t>
  </si>
  <si>
    <t>TXN00763</t>
  </si>
  <si>
    <t>TXN00765</t>
  </si>
  <si>
    <t>TXN00766</t>
  </si>
  <si>
    <t>TXN00700</t>
  </si>
  <si>
    <t>2025-07-22</t>
  </si>
  <si>
    <t>TXN00692</t>
  </si>
  <si>
    <t>2025-07-23</t>
  </si>
  <si>
    <t>TXN00712</t>
  </si>
  <si>
    <t>TXN00739</t>
  </si>
  <si>
    <t>TXN00755</t>
  </si>
  <si>
    <t>TXN00758</t>
  </si>
  <si>
    <t>TXN00670</t>
  </si>
  <si>
    <t>2025-07-24</t>
  </si>
  <si>
    <t>TXN00687</t>
  </si>
  <si>
    <t>TXN00725</t>
  </si>
  <si>
    <t>TXN00760</t>
  </si>
  <si>
    <t>TXN00764</t>
  </si>
  <si>
    <t>TXN00768</t>
  </si>
  <si>
    <t>TXN00690</t>
  </si>
  <si>
    <t>2025-07-25</t>
  </si>
  <si>
    <t>TXN00708</t>
  </si>
  <si>
    <t>TXN00717</t>
  </si>
  <si>
    <t>TXN00726</t>
  </si>
  <si>
    <t>2025-07-26</t>
  </si>
  <si>
    <t>TXN00738</t>
  </si>
  <si>
    <t>TXN00742</t>
  </si>
  <si>
    <t>TXN00757</t>
  </si>
  <si>
    <t>TXN00663</t>
  </si>
  <si>
    <t>2025-07-27</t>
  </si>
  <si>
    <t>TXN00689</t>
  </si>
  <si>
    <t>TXN00707</t>
  </si>
  <si>
    <t>TXN00721</t>
  </si>
  <si>
    <t>TXN00732</t>
  </si>
  <si>
    <t>TXN00744</t>
  </si>
  <si>
    <t>TXN00671</t>
  </si>
  <si>
    <t>2025-07-28</t>
  </si>
  <si>
    <t>TXN00702</t>
  </si>
  <si>
    <t>TXN00720</t>
  </si>
  <si>
    <t>TXN00722</t>
  </si>
  <si>
    <t>TXN00745</t>
  </si>
  <si>
    <t>TXN00754</t>
  </si>
  <si>
    <t>TXN00667</t>
  </si>
  <si>
    <t>2025-07-29</t>
  </si>
  <si>
    <t>TXN00705</t>
  </si>
  <si>
    <t>TXN00730</t>
  </si>
  <si>
    <t>TXN00666</t>
  </si>
  <si>
    <t>2025-07-30</t>
  </si>
  <si>
    <t>TXN00697</t>
  </si>
  <si>
    <t>TXN00706</t>
  </si>
  <si>
    <t>TXN00740</t>
  </si>
  <si>
    <t>TXN00747</t>
  </si>
  <si>
    <t>TXN00751</t>
  </si>
  <si>
    <t>TXN00679</t>
  </si>
  <si>
    <t>2025-07-31</t>
  </si>
  <si>
    <t>TXN00701</t>
  </si>
  <si>
    <t>TXN00710</t>
  </si>
  <si>
    <t>TXN00719</t>
  </si>
  <si>
    <t>TXN00731</t>
  </si>
  <si>
    <t>TXN00761</t>
  </si>
  <si>
    <t>TXN00781</t>
  </si>
  <si>
    <t>2025-08-01</t>
  </si>
  <si>
    <t>TXN00853</t>
  </si>
  <si>
    <t>TXN00858</t>
  </si>
  <si>
    <t>TXN00777</t>
  </si>
  <si>
    <t>2025-08-02</t>
  </si>
  <si>
    <t>TXN00796</t>
  </si>
  <si>
    <t>TXN00817</t>
  </si>
  <si>
    <t>TXN00849</t>
  </si>
  <si>
    <t>TXN00869</t>
  </si>
  <si>
    <t>TXN00773</t>
  </si>
  <si>
    <t>2025-08-03</t>
  </si>
  <si>
    <t>TXN00774</t>
  </si>
  <si>
    <t>TXN00785</t>
  </si>
  <si>
    <t>TXN00815</t>
  </si>
  <si>
    <t>TXN00844</t>
  </si>
  <si>
    <t>TXN00832</t>
  </si>
  <si>
    <t>2025-08-04</t>
  </si>
  <si>
    <t>TXN00848</t>
  </si>
  <si>
    <t>TXN00866</t>
  </si>
  <si>
    <t>TXN00788</t>
  </si>
  <si>
    <t>2025-08-05</t>
  </si>
  <si>
    <t>TXN00802</t>
  </si>
  <si>
    <t>TXN00806</t>
  </si>
  <si>
    <t>TXN00865</t>
  </si>
  <si>
    <t>TXN00823</t>
  </si>
  <si>
    <t>2025-08-06</t>
  </si>
  <si>
    <t>TXN00813</t>
  </si>
  <si>
    <t>2025-08-07</t>
  </si>
  <si>
    <t>TXN00829</t>
  </si>
  <si>
    <t>TXN00874</t>
  </si>
  <si>
    <t>TXN00827</t>
  </si>
  <si>
    <t>2025-08-08</t>
  </si>
  <si>
    <t>TXN00877</t>
  </si>
  <si>
    <t>TXN00818</t>
  </si>
  <si>
    <t>2025-08-09</t>
  </si>
  <si>
    <t>TXN00811</t>
  </si>
  <si>
    <t>2025-08-10</t>
  </si>
  <si>
    <t>TXN00834</t>
  </si>
  <si>
    <t>TXN00837</t>
  </si>
  <si>
    <t>TXN00842</t>
  </si>
  <si>
    <t>TXN00871</t>
  </si>
  <si>
    <t>TXN00809</t>
  </si>
  <si>
    <t>2025-08-11</t>
  </si>
  <si>
    <t>TXN00833</t>
  </si>
  <si>
    <t>TXN00836</t>
  </si>
  <si>
    <t>TXN00851</t>
  </si>
  <si>
    <t>TXN00852</t>
  </si>
  <si>
    <t>TXN00862</t>
  </si>
  <si>
    <t>TXN00789</t>
  </si>
  <si>
    <t>2025-08-12</t>
  </si>
  <si>
    <t>TXN00804</t>
  </si>
  <si>
    <t>TXN00875</t>
  </si>
  <si>
    <t>TXN00786</t>
  </si>
  <si>
    <t>2025-08-13</t>
  </si>
  <si>
    <t>TXN00807</t>
  </si>
  <si>
    <t>TXN00856</t>
  </si>
  <si>
    <t>TXN00776</t>
  </si>
  <si>
    <t>2025-08-14</t>
  </si>
  <si>
    <t>TXN00828</t>
  </si>
  <si>
    <t>TXN00850</t>
  </si>
  <si>
    <t>TXN00787</t>
  </si>
  <si>
    <t>2025-08-15</t>
  </si>
  <si>
    <t>TXN00800</t>
  </si>
  <si>
    <t>TXN00846</t>
  </si>
  <si>
    <t>TXN00880</t>
  </si>
  <si>
    <t>TXN00826</t>
  </si>
  <si>
    <t>2025-08-16</t>
  </si>
  <si>
    <t>TXN00840</t>
  </si>
  <si>
    <t>TXN00876</t>
  </si>
  <si>
    <t>TXN00793</t>
  </si>
  <si>
    <t>2025-08-17</t>
  </si>
  <si>
    <t>TXN00814</t>
  </si>
  <si>
    <t>TXN00825</t>
  </si>
  <si>
    <t>TXN00860</t>
  </si>
  <si>
    <t>TXN00790</t>
  </si>
  <si>
    <t>2025-08-18</t>
  </si>
  <si>
    <t>TXN00799</t>
  </si>
  <si>
    <t>TXN00821</t>
  </si>
  <si>
    <t>TXN00831</t>
  </si>
  <si>
    <t>TXN00870</t>
  </si>
  <si>
    <t>TXN00780</t>
  </si>
  <si>
    <t>2025-08-19</t>
  </si>
  <si>
    <t>TXN00801</t>
  </si>
  <si>
    <t>TXN00803</t>
  </si>
  <si>
    <t>TXN00805</t>
  </si>
  <si>
    <t>TXN00830</t>
  </si>
  <si>
    <t>TXN00838</t>
  </si>
  <si>
    <t>TXN00847</t>
  </si>
  <si>
    <t>TXN00775</t>
  </si>
  <si>
    <t>2025-08-20</t>
  </si>
  <si>
    <t>TXN00782</t>
  </si>
  <si>
    <t>TXN00794</t>
  </si>
  <si>
    <t>TXN00820</t>
  </si>
  <si>
    <t>TXN00855</t>
  </si>
  <si>
    <t>TXN00868</t>
  </si>
  <si>
    <t>TXN00872</t>
  </si>
  <si>
    <t>TXN00783</t>
  </si>
  <si>
    <t>2025-08-21</t>
  </si>
  <si>
    <t>TXN00824</t>
  </si>
  <si>
    <t>TXN00779</t>
  </si>
  <si>
    <t>2025-08-22</t>
  </si>
  <si>
    <t>TXN00878</t>
  </si>
  <si>
    <t>TXN00778</t>
  </si>
  <si>
    <t>2025-08-23</t>
  </si>
  <si>
    <t>TXN00859</t>
  </si>
  <si>
    <t>TXN00808</t>
  </si>
  <si>
    <t>2025-08-24</t>
  </si>
  <si>
    <t>TXN00812</t>
  </si>
  <si>
    <t>TXN00839</t>
  </si>
  <si>
    <t>TXN00873</t>
  </si>
  <si>
    <t>TXN00879</t>
  </si>
  <si>
    <t>TXN00771</t>
  </si>
  <si>
    <t>2025-08-25</t>
  </si>
  <si>
    <t>TXN00843</t>
  </si>
  <si>
    <t>TXN00854</t>
  </si>
  <si>
    <t>TXN00784</t>
  </si>
  <si>
    <t>2025-08-26</t>
  </si>
  <si>
    <t>TXN00835</t>
  </si>
  <si>
    <t>TXN00845</t>
  </si>
  <si>
    <t>TXN00797</t>
  </si>
  <si>
    <t>2025-08-27</t>
  </si>
  <si>
    <t>TXN00822</t>
  </si>
  <si>
    <t>TXN00772</t>
  </si>
  <si>
    <t>2025-08-28</t>
  </si>
  <si>
    <t>TXN00810</t>
  </si>
  <si>
    <t>TXN00841</t>
  </si>
  <si>
    <t>TXN00792</t>
  </si>
  <si>
    <t>2025-08-29</t>
  </si>
  <si>
    <t>TXN00816</t>
  </si>
  <si>
    <t>TXN00863</t>
  </si>
  <si>
    <t>TXN00867</t>
  </si>
  <si>
    <t>TXN00798</t>
  </si>
  <si>
    <t>2025-08-30</t>
  </si>
  <si>
    <t>TXN00819</t>
  </si>
  <si>
    <t>TXN00864</t>
  </si>
  <si>
    <t>TXN00791</t>
  </si>
  <si>
    <t>2025-08-31</t>
  </si>
  <si>
    <t>TXN00795</t>
  </si>
  <si>
    <t>TXN00857</t>
  </si>
  <si>
    <t>TXN00861</t>
  </si>
  <si>
    <t>TXN00912</t>
  </si>
  <si>
    <t>2025-09-01</t>
  </si>
  <si>
    <t>TXN00943</t>
  </si>
  <si>
    <t>TXN00965</t>
  </si>
  <si>
    <t>TXN00969</t>
  </si>
  <si>
    <t>TXN00980</t>
  </si>
  <si>
    <t>TXN00981</t>
  </si>
  <si>
    <t>TXN00889</t>
  </si>
  <si>
    <t>2025-09-02</t>
  </si>
  <si>
    <t>TXN00906</t>
  </si>
  <si>
    <t>TXN00909</t>
  </si>
  <si>
    <t>TXN00948</t>
  </si>
  <si>
    <t>TXN00963</t>
  </si>
  <si>
    <t>TXN00970</t>
  </si>
  <si>
    <t>TXN00894</t>
  </si>
  <si>
    <t>2025-09-03</t>
  </si>
  <si>
    <t>TXN00955</t>
  </si>
  <si>
    <t>TXN00964</t>
  </si>
  <si>
    <t>TXN00881</t>
  </si>
  <si>
    <t>2025-09-04</t>
  </si>
  <si>
    <t>TXN00886</t>
  </si>
  <si>
    <t>TXN00918</t>
  </si>
  <si>
    <t>TXN00958</t>
  </si>
  <si>
    <t>TXN00973</t>
  </si>
  <si>
    <t>TXN00985</t>
  </si>
  <si>
    <t>TXN00914</t>
  </si>
  <si>
    <t>2025-09-05</t>
  </si>
  <si>
    <t>TXN00937</t>
  </si>
  <si>
    <t>TXN00891</t>
  </si>
  <si>
    <t>2025-09-06</t>
  </si>
  <si>
    <t>TXN00947</t>
  </si>
  <si>
    <t>TXN00984</t>
  </si>
  <si>
    <t>TXN00966</t>
  </si>
  <si>
    <t>2025-09-07</t>
  </si>
  <si>
    <t>TXN00983</t>
  </si>
  <si>
    <t>TXN00944</t>
  </si>
  <si>
    <t>2025-09-08</t>
  </si>
  <si>
    <t>TXN00978</t>
  </si>
  <si>
    <t>TXN00915</t>
  </si>
  <si>
    <t>2025-09-09</t>
  </si>
  <si>
    <t>TXN00961</t>
  </si>
  <si>
    <t>TXN00987</t>
  </si>
  <si>
    <t>TXN00982</t>
  </si>
  <si>
    <t>2025-09-10</t>
  </si>
  <si>
    <t>TXN00902</t>
  </si>
  <si>
    <t>2025-09-11</t>
  </si>
  <si>
    <t>TXN00925</t>
  </si>
  <si>
    <t>TXN00953</t>
  </si>
  <si>
    <t>TXN00956</t>
  </si>
  <si>
    <t>TXN00960</t>
  </si>
  <si>
    <t>TXN00990</t>
  </si>
  <si>
    <t>TXN00898</t>
  </si>
  <si>
    <t>2025-09-12</t>
  </si>
  <si>
    <t>TXN00988</t>
  </si>
  <si>
    <t>TXN00887</t>
  </si>
  <si>
    <t>2025-09-13</t>
  </si>
  <si>
    <t>TXN00903</t>
  </si>
  <si>
    <t>TXN00935</t>
  </si>
  <si>
    <t>TXN00977</t>
  </si>
  <si>
    <t>TXN00926</t>
  </si>
  <si>
    <t>2025-09-14</t>
  </si>
  <si>
    <t>TXN00904</t>
  </si>
  <si>
    <t>2025-09-15</t>
  </si>
  <si>
    <t>TXN00916</t>
  </si>
  <si>
    <t>TXN00986</t>
  </si>
  <si>
    <t>TXN00905</t>
  </si>
  <si>
    <t>2025-09-16</t>
  </si>
  <si>
    <t>TXN00932</t>
  </si>
  <si>
    <t>TXN00952</t>
  </si>
  <si>
    <t>TXN00957</t>
  </si>
  <si>
    <t>TXN00913</t>
  </si>
  <si>
    <t>2025-09-17</t>
  </si>
  <si>
    <t>TXN00919</t>
  </si>
  <si>
    <t>TXN00920</t>
  </si>
  <si>
    <t>2025-09-18</t>
  </si>
  <si>
    <t>TXN00967</t>
  </si>
  <si>
    <t>TXN00949</t>
  </si>
  <si>
    <t>2025-09-19</t>
  </si>
  <si>
    <t>TXN00897</t>
  </si>
  <si>
    <t>2025-09-20</t>
  </si>
  <si>
    <t>TXN00907</t>
  </si>
  <si>
    <t>TXN00923</t>
  </si>
  <si>
    <t>TXN00924</t>
  </si>
  <si>
    <t>TXN00939</t>
  </si>
  <si>
    <t>TXN00976</t>
  </si>
  <si>
    <t>TXN00989</t>
  </si>
  <si>
    <t>TXN00884</t>
  </si>
  <si>
    <t>2025-09-21</t>
  </si>
  <si>
    <t>TXN00900</t>
  </si>
  <si>
    <t>TXN00908</t>
  </si>
  <si>
    <t>TXN00940</t>
  </si>
  <si>
    <t>TXN00968</t>
  </si>
  <si>
    <t>TXN00972</t>
  </si>
  <si>
    <t>TXN00979</t>
  </si>
  <si>
    <t>TXN00896</t>
  </si>
  <si>
    <t>2025-09-22</t>
  </si>
  <si>
    <t>TXN00933</t>
  </si>
  <si>
    <t>TXN00911</t>
  </si>
  <si>
    <t>2025-09-23</t>
  </si>
  <si>
    <t>TXN00929</t>
  </si>
  <si>
    <t>TXN00930</t>
  </si>
  <si>
    <t>TXN00931</t>
  </si>
  <si>
    <t>TXN00941</t>
  </si>
  <si>
    <t>TXN00922</t>
  </si>
  <si>
    <t>2025-09-24</t>
  </si>
  <si>
    <t>TXN00946</t>
  </si>
  <si>
    <t>TXN00895</t>
  </si>
  <si>
    <t>2025-09-25</t>
  </si>
  <si>
    <t>TXN00910</t>
  </si>
  <si>
    <t>TXN00917</t>
  </si>
  <si>
    <t>TXN00921</t>
  </si>
  <si>
    <t>TXN00936</t>
  </si>
  <si>
    <t>TXN00938</t>
  </si>
  <si>
    <t>TXN00945</t>
  </si>
  <si>
    <t>TXN00951</t>
  </si>
  <si>
    <t>TXN00962</t>
  </si>
  <si>
    <t>TXN00974</t>
  </si>
  <si>
    <t>TXN00882</t>
  </si>
  <si>
    <t>2025-09-26</t>
  </si>
  <si>
    <t>TXN00942</t>
  </si>
  <si>
    <t>TXN00954</t>
  </si>
  <si>
    <t>TXN00899</t>
  </si>
  <si>
    <t>2025-09-27</t>
  </si>
  <si>
    <t>TXN00927</t>
  </si>
  <si>
    <t>TXN00971</t>
  </si>
  <si>
    <t>TXN00883</t>
  </si>
  <si>
    <t>2025-09-28</t>
  </si>
  <si>
    <t>TXN00892</t>
  </si>
  <si>
    <t>TXN00901</t>
  </si>
  <si>
    <t>TXN00934</t>
  </si>
  <si>
    <t>TXN00885</t>
  </si>
  <si>
    <t>2025-09-29</t>
  </si>
  <si>
    <t>TXN00888</t>
  </si>
  <si>
    <t>TXN00890</t>
  </si>
  <si>
    <t>2025-09-30</t>
  </si>
  <si>
    <t>TXN00893</t>
  </si>
  <si>
    <t>TXN00928</t>
  </si>
  <si>
    <t>TXN00950</t>
  </si>
  <si>
    <t>TXN00959</t>
  </si>
  <si>
    <t>TXN00975</t>
  </si>
  <si>
    <t>TXN00992</t>
  </si>
  <si>
    <t>2025-10-01</t>
  </si>
  <si>
    <t>TXN01030</t>
  </si>
  <si>
    <t>TXN01034</t>
  </si>
  <si>
    <t>TXN01070</t>
  </si>
  <si>
    <t>TXN01087</t>
  </si>
  <si>
    <t>TXN01025</t>
  </si>
  <si>
    <t>2025-10-03</t>
  </si>
  <si>
    <t>TXN01053</t>
  </si>
  <si>
    <t>TXN01074</t>
  </si>
  <si>
    <t>TXN01038</t>
  </si>
  <si>
    <t>2025-10-04</t>
  </si>
  <si>
    <t>TXN01079</t>
  </si>
  <si>
    <t>TXN01086</t>
  </si>
  <si>
    <t>TXN01002</t>
  </si>
  <si>
    <t>2025-10-05</t>
  </si>
  <si>
    <t>TXN01017</t>
  </si>
  <si>
    <t>TXN01016</t>
  </si>
  <si>
    <t>2025-10-06</t>
  </si>
  <si>
    <t>TXN01026</t>
  </si>
  <si>
    <t>TXN01028</t>
  </si>
  <si>
    <t>TXN01046</t>
  </si>
  <si>
    <t>TXN01090</t>
  </si>
  <si>
    <t>TXN01098</t>
  </si>
  <si>
    <t>TXN01075</t>
  </si>
  <si>
    <t>2025-10-07</t>
  </si>
  <si>
    <t>TXN01094</t>
  </si>
  <si>
    <t>TXN01073</t>
  </si>
  <si>
    <t>2025-10-08</t>
  </si>
  <si>
    <t>TXN01089</t>
  </si>
  <si>
    <t>TXN01000</t>
  </si>
  <si>
    <t>2025-10-09</t>
  </si>
  <si>
    <t>TXN01040</t>
  </si>
  <si>
    <t>TXN01060</t>
  </si>
  <si>
    <t>TXN01065</t>
  </si>
  <si>
    <t>TXN01082</t>
  </si>
  <si>
    <t>TXN01010</t>
  </si>
  <si>
    <t>2025-10-11</t>
  </si>
  <si>
    <t>TXN01059</t>
  </si>
  <si>
    <t>2025-10-12</t>
  </si>
  <si>
    <t>TXN01063</t>
  </si>
  <si>
    <t>TXN01081</t>
  </si>
  <si>
    <t>TXN01085</t>
  </si>
  <si>
    <t>TXN01088</t>
  </si>
  <si>
    <t>TXN01091</t>
  </si>
  <si>
    <t>TXN00999</t>
  </si>
  <si>
    <t>2025-10-13</t>
  </si>
  <si>
    <t>TXN01012</t>
  </si>
  <si>
    <t>TXN01014</t>
  </si>
  <si>
    <t>TXN01050</t>
  </si>
  <si>
    <t>TXN01083</t>
  </si>
  <si>
    <t>TXN00993</t>
  </si>
  <si>
    <t>2025-10-14</t>
  </si>
  <si>
    <t>TXN01036</t>
  </si>
  <si>
    <t>TXN01043</t>
  </si>
  <si>
    <t>TXN01072</t>
  </si>
  <si>
    <t>TXN01068</t>
  </si>
  <si>
    <t>2025-10-15</t>
  </si>
  <si>
    <t>TXN01099</t>
  </si>
  <si>
    <t>TXN01007</t>
  </si>
  <si>
    <t>2025-10-16</t>
  </si>
  <si>
    <t>TXN01009</t>
  </si>
  <si>
    <t>TXN01015</t>
  </si>
  <si>
    <t>TXN01019</t>
  </si>
  <si>
    <t>TXN01033</t>
  </si>
  <si>
    <t>TXN01003</t>
  </si>
  <si>
    <t>2025-10-17</t>
  </si>
  <si>
    <t>TXN01023</t>
  </si>
  <si>
    <t>TXN01035</t>
  </si>
  <si>
    <t>TXN01041</t>
  </si>
  <si>
    <t>TXN01055</t>
  </si>
  <si>
    <t>TXN01058</t>
  </si>
  <si>
    <t>TXN01066</t>
  </si>
  <si>
    <t>TXN00995</t>
  </si>
  <si>
    <t>2025-10-18</t>
  </si>
  <si>
    <t>TXN01096</t>
  </si>
  <si>
    <t>TXN01097</t>
  </si>
  <si>
    <t>TXN01100</t>
  </si>
  <si>
    <t>TXN00991</t>
  </si>
  <si>
    <t>2025-10-19</t>
  </si>
  <si>
    <t>TXN01021</t>
  </si>
  <si>
    <t>TXN01029</t>
  </si>
  <si>
    <t>TXN01037</t>
  </si>
  <si>
    <t>TXN01044</t>
  </si>
  <si>
    <t>TXN01047</t>
  </si>
  <si>
    <t>TXN01061</t>
  </si>
  <si>
    <t>TXN01092</t>
  </si>
  <si>
    <t>TXN01080</t>
  </si>
  <si>
    <t>2025-10-20</t>
  </si>
  <si>
    <t>TXN01020</t>
  </si>
  <si>
    <t>2025-10-21</t>
  </si>
  <si>
    <t>TXN01056</t>
  </si>
  <si>
    <t>TXN01008</t>
  </si>
  <si>
    <t>2025-10-22</t>
  </si>
  <si>
    <t>TXN01018</t>
  </si>
  <si>
    <t>TXN01051</t>
  </si>
  <si>
    <t>TXN01042</t>
  </si>
  <si>
    <t>2025-10-23</t>
  </si>
  <si>
    <t>TXN00997</t>
  </si>
  <si>
    <t>2025-10-24</t>
  </si>
  <si>
    <t>TXN01006</t>
  </si>
  <si>
    <t>TXN01054</t>
  </si>
  <si>
    <t>TXN01077</t>
  </si>
  <si>
    <t>TXN01093</t>
  </si>
  <si>
    <t>TXN01001</t>
  </si>
  <si>
    <t>2025-10-25</t>
  </si>
  <si>
    <t>TXN01004</t>
  </si>
  <si>
    <t>TXN01045</t>
  </si>
  <si>
    <t>TXN01049</t>
  </si>
  <si>
    <t>2025-10-26</t>
  </si>
  <si>
    <t>TXN01052</t>
  </si>
  <si>
    <t>TXN01057</t>
  </si>
  <si>
    <t>TXN01071</t>
  </si>
  <si>
    <t>TXN01084</t>
  </si>
  <si>
    <t>TXN01095</t>
  </si>
  <si>
    <t>TXN01011</t>
  </si>
  <si>
    <t>2025-10-27</t>
  </si>
  <si>
    <t>TXN01013</t>
  </si>
  <si>
    <t>TXN01027</t>
  </si>
  <si>
    <t>TXN01031</t>
  </si>
  <si>
    <t>TXN01078</t>
  </si>
  <si>
    <t>TXN00996</t>
  </si>
  <si>
    <t>2025-10-28</t>
  </si>
  <si>
    <t>TXN00998</t>
  </si>
  <si>
    <t>TXN01039</t>
  </si>
  <si>
    <t>TXN01048</t>
  </si>
  <si>
    <t>TXN00994</t>
  </si>
  <si>
    <t>2025-10-29</t>
  </si>
  <si>
    <t>TXN01022</t>
  </si>
  <si>
    <t>TXN01024</t>
  </si>
  <si>
    <t>TXN01032</t>
  </si>
  <si>
    <t>TXN01067</t>
  </si>
  <si>
    <t>TXN01062</t>
  </si>
  <si>
    <t>2025-10-30</t>
  </si>
  <si>
    <t>TXN01076</t>
  </si>
  <si>
    <t>TXN01005</t>
  </si>
  <si>
    <t>2025-10-31</t>
  </si>
  <si>
    <t>TXN01064</t>
  </si>
  <si>
    <t>TXN01069</t>
  </si>
  <si>
    <t>TXN01135</t>
  </si>
  <si>
    <t>2025-11-01</t>
  </si>
  <si>
    <t>TXN01137</t>
  </si>
  <si>
    <t>TXN01139</t>
  </si>
  <si>
    <t>2025-11-02</t>
  </si>
  <si>
    <t>TXN01169</t>
  </si>
  <si>
    <t>TXN01173</t>
  </si>
  <si>
    <t>TXN01161</t>
  </si>
  <si>
    <t>2025-11-03</t>
  </si>
  <si>
    <t>TXN01193</t>
  </si>
  <si>
    <t>TXN01194</t>
  </si>
  <si>
    <t>TXN01197</t>
  </si>
  <si>
    <t>TXN01206</t>
  </si>
  <si>
    <t>TXN01101</t>
  </si>
  <si>
    <t>2025-11-04</t>
  </si>
  <si>
    <t>TXN01115</t>
  </si>
  <si>
    <t>TXN01142</t>
  </si>
  <si>
    <t>TXN01147</t>
  </si>
  <si>
    <t>TXN01150</t>
  </si>
  <si>
    <t>TXN01167</t>
  </si>
  <si>
    <t>TXN01191</t>
  </si>
  <si>
    <t>TXN01117</t>
  </si>
  <si>
    <t>2025-11-05</t>
  </si>
  <si>
    <t>TXN01188</t>
  </si>
  <si>
    <t>TXN01129</t>
  </si>
  <si>
    <t>2025-11-06</t>
  </si>
  <si>
    <t>TXN01113</t>
  </si>
  <si>
    <t>2025-11-07</t>
  </si>
  <si>
    <t>TXN01128</t>
  </si>
  <si>
    <t>TXN01132</t>
  </si>
  <si>
    <t>TXN01141</t>
  </si>
  <si>
    <t>TXN01159</t>
  </si>
  <si>
    <t>TXN01176</t>
  </si>
  <si>
    <t>TXN01189</t>
  </si>
  <si>
    <t>TXN01108</t>
  </si>
  <si>
    <t>2025-11-08</t>
  </si>
  <si>
    <t>TXN01123</t>
  </si>
  <si>
    <t>TXN01143</t>
  </si>
  <si>
    <t>TXN01171</t>
  </si>
  <si>
    <t>TXN01185</t>
  </si>
  <si>
    <t>TXN01202</t>
  </si>
  <si>
    <t>TXN01209</t>
  </si>
  <si>
    <t>TXN01124</t>
  </si>
  <si>
    <t>2025-11-09</t>
  </si>
  <si>
    <t>TXN01130</t>
  </si>
  <si>
    <t>TXN01140</t>
  </si>
  <si>
    <t>TXN01186</t>
  </si>
  <si>
    <t>TXN01103</t>
  </si>
  <si>
    <t>2025-11-10</t>
  </si>
  <si>
    <t>TXN01116</t>
  </si>
  <si>
    <t>TXN01127</t>
  </si>
  <si>
    <t>TXN01131</t>
  </si>
  <si>
    <t>TXN01204</t>
  </si>
  <si>
    <t>TXN01164</t>
  </si>
  <si>
    <t>2025-11-11</t>
  </si>
  <si>
    <t>TXN01201</t>
  </si>
  <si>
    <t>TXN01118</t>
  </si>
  <si>
    <t>2025-11-12</t>
  </si>
  <si>
    <t>TXN01125</t>
  </si>
  <si>
    <t>TXN01154</t>
  </si>
  <si>
    <t>TXN01162</t>
  </si>
  <si>
    <t>TXN01174</t>
  </si>
  <si>
    <t>TXN01192</t>
  </si>
  <si>
    <t>TXN01107</t>
  </si>
  <si>
    <t>2025-11-13</t>
  </si>
  <si>
    <t>TXN01145</t>
  </si>
  <si>
    <t>TXN01157</t>
  </si>
  <si>
    <t>TXN01165</t>
  </si>
  <si>
    <t>TXN01111</t>
  </si>
  <si>
    <t>2025-11-14</t>
  </si>
  <si>
    <t>TXN01179</t>
  </si>
  <si>
    <t>TXN01105</t>
  </si>
  <si>
    <t>2025-11-15</t>
  </si>
  <si>
    <t>TXN01160</t>
  </si>
  <si>
    <t>TXN01134</t>
  </si>
  <si>
    <t>2025-11-16</t>
  </si>
  <si>
    <t>TXN01155</t>
  </si>
  <si>
    <t>TXN01172</t>
  </si>
  <si>
    <t>TXN01205</t>
  </si>
  <si>
    <t>TXN01170</t>
  </si>
  <si>
    <t>2025-11-17</t>
  </si>
  <si>
    <t>TXN01175</t>
  </si>
  <si>
    <t>TXN01114</t>
  </si>
  <si>
    <t>2025-11-18</t>
  </si>
  <si>
    <t>TXN01177</t>
  </si>
  <si>
    <t>TXN01182</t>
  </si>
  <si>
    <t>TXN01183</t>
  </si>
  <si>
    <t>TXN01102</t>
  </si>
  <si>
    <t>2025-11-19</t>
  </si>
  <si>
    <t>TXN01178</t>
  </si>
  <si>
    <t>TXN01109</t>
  </si>
  <si>
    <t>2025-11-20</t>
  </si>
  <si>
    <t>TXN01166</t>
  </si>
  <si>
    <t>TXN01222</t>
  </si>
  <si>
    <t>2025-11-21</t>
  </si>
  <si>
    <t>TXN01133</t>
  </si>
  <si>
    <t>TXN01146</t>
  </si>
  <si>
    <t>TXN01149</t>
  </si>
  <si>
    <t>TXN01196</t>
  </si>
  <si>
    <t>TXN01208</t>
  </si>
  <si>
    <t>TXN01112</t>
  </si>
  <si>
    <t>2025-11-22</t>
  </si>
  <si>
    <t>TXN01180</t>
  </si>
  <si>
    <t>TXN01210</t>
  </si>
  <si>
    <t>TXN01120</t>
  </si>
  <si>
    <t>2025-11-23</t>
  </si>
  <si>
    <t>TXN01136</t>
  </si>
  <si>
    <t>TXN01158</t>
  </si>
  <si>
    <t>TXN01104</t>
  </si>
  <si>
    <t>2025-11-24</t>
  </si>
  <si>
    <t>TXN01121</t>
  </si>
  <si>
    <t>TXN01163</t>
  </si>
  <si>
    <t>TXN01187</t>
  </si>
  <si>
    <t>TXN01199</t>
  </si>
  <si>
    <t>TXN01126</t>
  </si>
  <si>
    <t>2025-11-25</t>
  </si>
  <si>
    <t>TXN01144</t>
  </si>
  <si>
    <t>TXN01152</t>
  </si>
  <si>
    <t>TXN01184</t>
  </si>
  <si>
    <t>TXN01200</t>
  </si>
  <si>
    <t>TXN01203</t>
  </si>
  <si>
    <t>TXN01207</t>
  </si>
  <si>
    <t>TXN01106</t>
  </si>
  <si>
    <t>2025-11-26</t>
  </si>
  <si>
    <t>TXN01138</t>
  </si>
  <si>
    <t>TXN01151</t>
  </si>
  <si>
    <t>TXN01156</t>
  </si>
  <si>
    <t>TXN01181</t>
  </si>
  <si>
    <t>TXN01195</t>
  </si>
  <si>
    <t>2025-11-27</t>
  </si>
  <si>
    <t>TXN01110</t>
  </si>
  <si>
    <t>2025-11-28</t>
  </si>
  <si>
    <t>TXN01119</t>
  </si>
  <si>
    <t>TXN01168</t>
  </si>
  <si>
    <t>TXN01148</t>
  </si>
  <si>
    <t>2025-11-29</t>
  </si>
  <si>
    <t>TXN01198</t>
  </si>
  <si>
    <t>TXN01153</t>
  </si>
  <si>
    <t>2025-11-30</t>
  </si>
  <si>
    <t>TXN01190</t>
  </si>
  <si>
    <t>TXN01216</t>
  </si>
  <si>
    <t>2025-12-01</t>
  </si>
  <si>
    <t>TXN01220</t>
  </si>
  <si>
    <t>TXN01319</t>
  </si>
  <si>
    <t>2025-12-02</t>
  </si>
  <si>
    <t>TXN01228</t>
  </si>
  <si>
    <t>TXN01318</t>
  </si>
  <si>
    <t>TXN01263</t>
  </si>
  <si>
    <t>2025-12-03</t>
  </si>
  <si>
    <t>TXN01268</t>
  </si>
  <si>
    <t>TXN01278</t>
  </si>
  <si>
    <t>TXN01287</t>
  </si>
  <si>
    <t>TXN01290</t>
  </si>
  <si>
    <t>TXN01257</t>
  </si>
  <si>
    <t>2025-12-04</t>
  </si>
  <si>
    <t>TXN01295</t>
  </si>
  <si>
    <t>TXN01303</t>
  </si>
  <si>
    <t>2025-12-05</t>
  </si>
  <si>
    <t>TXN01315</t>
  </si>
  <si>
    <t>TXN01227</t>
  </si>
  <si>
    <t>2025-12-06</t>
  </si>
  <si>
    <t>TXN01241</t>
  </si>
  <si>
    <t>TXN01245</t>
  </si>
  <si>
    <t>TXN01249</t>
  </si>
  <si>
    <t>TXN01261</t>
  </si>
  <si>
    <t>TXN01280</t>
  </si>
  <si>
    <t>TXN01283</t>
  </si>
  <si>
    <t>TXN01218</t>
  </si>
  <si>
    <t>2025-12-07</t>
  </si>
  <si>
    <t>TXN01250</t>
  </si>
  <si>
    <t>TXN01252</t>
  </si>
  <si>
    <t>TXN01277</t>
  </si>
  <si>
    <t>TXN01298</t>
  </si>
  <si>
    <t>TXN01225</t>
  </si>
  <si>
    <t>2025-12-08</t>
  </si>
  <si>
    <t>TXN01258</t>
  </si>
  <si>
    <t>TXN01221</t>
  </si>
  <si>
    <t>2025-12-09</t>
  </si>
  <si>
    <t>TXN01308</t>
  </si>
  <si>
    <t>TXN01260</t>
  </si>
  <si>
    <t>2025-12-10</t>
  </si>
  <si>
    <t>TXN01273</t>
  </si>
  <si>
    <t>TXN01299</t>
  </si>
  <si>
    <t>TXN01313</t>
  </si>
  <si>
    <t>TXN01316</t>
  </si>
  <si>
    <t>TXN01240</t>
  </si>
  <si>
    <t>2025-12-11</t>
  </si>
  <si>
    <t>TXN01255</t>
  </si>
  <si>
    <t>TXN01282</t>
  </si>
  <si>
    <t>TXN01288</t>
  </si>
  <si>
    <t>TXN01304</t>
  </si>
  <si>
    <t>TXN01320</t>
  </si>
  <si>
    <t>TXN01230</t>
  </si>
  <si>
    <t>2025-12-12</t>
  </si>
  <si>
    <t>TXN01286</t>
  </si>
  <si>
    <t>TXN01297</t>
  </si>
  <si>
    <t>TXN01312</t>
  </si>
  <si>
    <t>TXN01229</t>
  </si>
  <si>
    <t>2025-12-13</t>
  </si>
  <si>
    <t>TXN01254</t>
  </si>
  <si>
    <t>TXN01211</t>
  </si>
  <si>
    <t>2025-12-14</t>
  </si>
  <si>
    <t>TXN01235</t>
  </si>
  <si>
    <t>TXN01291</t>
  </si>
  <si>
    <t>TXN01236</t>
  </si>
  <si>
    <t>2025-12-15</t>
  </si>
  <si>
    <t>TXN01243</t>
  </si>
  <si>
    <t>TXN01265</t>
  </si>
  <si>
    <t>TXN01217</t>
  </si>
  <si>
    <t>2025-12-16</t>
  </si>
  <si>
    <t>TXN01276</t>
  </si>
  <si>
    <t>TXN01234</t>
  </si>
  <si>
    <t>2025-12-17</t>
  </si>
  <si>
    <t>TXN01248</t>
  </si>
  <si>
    <t>TXN01262</t>
  </si>
  <si>
    <t>TXN01269</t>
  </si>
  <si>
    <t>TXN01293</t>
  </si>
  <si>
    <t>TXN01237</t>
  </si>
  <si>
    <t>2025-12-18</t>
  </si>
  <si>
    <t>TXN01256</t>
  </si>
  <si>
    <t>TXN01259</t>
  </si>
  <si>
    <t>TXN01306</t>
  </si>
  <si>
    <t>TXN01309</t>
  </si>
  <si>
    <t>TXN01285</t>
  </si>
  <si>
    <t>2025-12-19</t>
  </si>
  <si>
    <t>TXN01213</t>
  </si>
  <si>
    <t>2025-12-20</t>
  </si>
  <si>
    <t>TXN01219</t>
  </si>
  <si>
    <t>TXN01246</t>
  </si>
  <si>
    <t>TXN01275</t>
  </si>
  <si>
    <t>TXN01279</t>
  </si>
  <si>
    <t>TXN01284</t>
  </si>
  <si>
    <t>TXN01289</t>
  </si>
  <si>
    <t>TXN01292</t>
  </si>
  <si>
    <t>TXN01294</t>
  </si>
  <si>
    <t>TXN01310</t>
  </si>
  <si>
    <t>TXN01212</t>
  </si>
  <si>
    <t>2025-12-21</t>
  </si>
  <si>
    <t>TXN01274</t>
  </si>
  <si>
    <t>TXN01214</t>
  </si>
  <si>
    <t>2025-12-22</t>
  </si>
  <si>
    <t>TXN01223</t>
  </si>
  <si>
    <t>TXN01247</t>
  </si>
  <si>
    <t>TXN01300</t>
  </si>
  <si>
    <t>TXN01238</t>
  </si>
  <si>
    <t>2025-12-23</t>
  </si>
  <si>
    <t>TXN01253</t>
  </si>
  <si>
    <t>TXN01311</t>
  </si>
  <si>
    <t>TXN01215</t>
  </si>
  <si>
    <t>2025-12-24</t>
  </si>
  <si>
    <t>TXN01244</t>
  </si>
  <si>
    <t>TXN01242</t>
  </si>
  <si>
    <t>2025-12-25</t>
  </si>
  <si>
    <t>TXN01231</t>
  </si>
  <si>
    <t>2025-12-26</t>
  </si>
  <si>
    <t>TXN01296</t>
  </si>
  <si>
    <t>TXN01307</t>
  </si>
  <si>
    <t>TXN01305</t>
  </si>
  <si>
    <t>2025-12-27</t>
  </si>
  <si>
    <t>TXN01224</t>
  </si>
  <si>
    <t>2025-12-28</t>
  </si>
  <si>
    <t>TXN01272</t>
  </si>
  <si>
    <t>TXN01281</t>
  </si>
  <si>
    <t>TXN01226</t>
  </si>
  <si>
    <t>2025-12-29</t>
  </si>
  <si>
    <t>TXN01233</t>
  </si>
  <si>
    <t>TXN01264</t>
  </si>
  <si>
    <t>TXN01266</t>
  </si>
  <si>
    <t>TXN01239</t>
  </si>
  <si>
    <t>2025-12-30</t>
  </si>
  <si>
    <t>TXN01267</t>
  </si>
  <si>
    <t>TXN01271</t>
  </si>
  <si>
    <t>TXN01302</t>
  </si>
  <si>
    <t>TXN01314</t>
  </si>
  <si>
    <t>TXN01232</t>
  </si>
  <si>
    <t>2025-12-31</t>
  </si>
  <si>
    <t>TXN01251</t>
  </si>
  <si>
    <t>TXN01270</t>
  </si>
  <si>
    <t>TXN01301</t>
  </si>
  <si>
    <t>TXN01317</t>
  </si>
  <si>
    <t>Budget Amount</t>
  </si>
  <si>
    <t>Budget Category</t>
  </si>
  <si>
    <t>APEX CONSUMER PRODUCTS PVT. LTD. — MONTHLY INCOME STATEMENT</t>
  </si>
  <si>
    <t>Year:</t>
  </si>
  <si>
    <t>Month (1-12):</t>
  </si>
  <si>
    <t>Department:</t>
  </si>
  <si>
    <t>Location:</t>
  </si>
  <si>
    <t>Report Period:</t>
  </si>
  <si>
    <t>Income Statement Line</t>
  </si>
  <si>
    <t>Actual</t>
  </si>
  <si>
    <t>Variance (F/U)</t>
  </si>
  <si>
    <t>Variance %</t>
  </si>
  <si>
    <t>Prior Year Actual</t>
  </si>
  <si>
    <t>YoY Change %</t>
  </si>
  <si>
    <t>Gross Revenue (Product Sales)</t>
  </si>
  <si>
    <t xml:space="preserve">  Less: Sales Returns &amp; Discounts</t>
  </si>
  <si>
    <t>Net Revenue</t>
  </si>
  <si>
    <t>Cost of Goods Sold (COGS)</t>
  </si>
  <si>
    <t>Gross Profit</t>
  </si>
  <si>
    <t>Gross Margin %</t>
  </si>
  <si>
    <t>Operating Expenses (OPEX):</t>
  </si>
  <si>
    <t xml:space="preserve">  Salaries &amp; Wages</t>
  </si>
  <si>
    <t xml:space="preserve">  Marketing Expense</t>
  </si>
  <si>
    <t xml:space="preserve">  Rent &amp; Utilities</t>
  </si>
  <si>
    <t xml:space="preserve">  Logistics Expense</t>
  </si>
  <si>
    <t xml:space="preserve">  Software &amp; Admin</t>
  </si>
  <si>
    <t>Total Operating Expenses</t>
  </si>
  <si>
    <t>Operating Profit (EBIT)</t>
  </si>
  <si>
    <t>Operating Margin %</t>
  </si>
  <si>
    <t>APEX CONSUMER PRODUCTS — DEPARTMENTAL P&amp;L PERFORMANCE</t>
  </si>
  <si>
    <t>Reporting Period:</t>
  </si>
  <si>
    <t>Gross Revenue</t>
  </si>
  <si>
    <t>Returns &amp; Discounts</t>
  </si>
  <si>
    <t>Operating Expenses</t>
  </si>
  <si>
    <t>Operating Profit</t>
  </si>
  <si>
    <t>Budget Revenue</t>
  </si>
  <si>
    <t>Revenue Variance</t>
  </si>
  <si>
    <t>Total Company</t>
  </si>
  <si>
    <t>DATA QUALITY &amp; FINANCIAL AUDIT CONTROL PANEL</t>
  </si>
  <si>
    <t>Mandatory automated reconciliations and audit flags before publishing management financial reports.</t>
  </si>
  <si>
    <t>Audit Control Check</t>
  </si>
  <si>
    <t>Observed Result</t>
  </si>
  <si>
    <t>Expected / Target</t>
  </si>
  <si>
    <t>Audit Status</t>
  </si>
  <si>
    <t>Audit Guidance &amp; Remediation</t>
  </si>
  <si>
    <t>Total Transaction Rows</t>
  </si>
  <si>
    <t>&gt; 0</t>
  </si>
  <si>
    <t>Total raw transaction records ingested into model.</t>
  </si>
  <si>
    <t>Duplicate Transaction IDs</t>
  </si>
  <si>
    <t>0</t>
  </si>
  <si>
    <t>Check for unique Transaction ID identifiers. Must equal 0.</t>
  </si>
  <si>
    <t>Unmapped Account Names</t>
  </si>
  <si>
    <t>Verifies all account codes successfully mapped via Chart of Accounts.</t>
  </si>
  <si>
    <t>Missing Transaction Dates</t>
  </si>
  <si>
    <t>No blank or missing dates permitted in accounting ledger.</t>
  </si>
  <si>
    <t>Missing Department Assignments</t>
  </si>
  <si>
    <t>Ensures 100% cost and revenue attribution to business departments.</t>
  </si>
  <si>
    <t>Negative Amounts Flag</t>
  </si>
  <si>
    <t>Accounting assumes positive amounts; contra revenue is tagged via Acct 4100.</t>
  </si>
  <si>
    <t>Total Transaction Value Sum</t>
  </si>
  <si>
    <t>Gross financial throughput checksum to tie back to GL bank export.</t>
  </si>
  <si>
    <t>Unmapped P&amp;L Categories</t>
  </si>
  <si>
    <t>Guarantees full mapping into Financial Statement Line Categories.</t>
  </si>
  <si>
    <t>GROSS SALES REVENUE</t>
  </si>
  <si>
    <t>NET REVENUE</t>
  </si>
  <si>
    <t>GROSS PROFIT</t>
  </si>
  <si>
    <t>OPERATING PROFIT (EBIT)</t>
  </si>
  <si>
    <t>Target: ₹22,000,000</t>
  </si>
  <si>
    <t>After Returns &amp; Discounts</t>
  </si>
  <si>
    <t>MONTHLY FINANCIAL PERFORMANCE TREND (FY 2025)</t>
  </si>
  <si>
    <t>Gross Sales</t>
  </si>
  <si>
    <t>Total OPEX</t>
  </si>
  <si>
    <t>ANNUAL DEPARTMENT REVENUE &amp; PROFIT CONTRIBUTION</t>
  </si>
  <si>
    <t>GEOGRAPHIC REGIONAL PERFORMANCE</t>
  </si>
  <si>
    <t>ANNUAL OPEX COST STRUCTURE</t>
  </si>
  <si>
    <t>% of Total</t>
  </si>
  <si>
    <t>City Location</t>
  </si>
  <si>
    <t>Return Rate %</t>
  </si>
  <si>
    <t>Operating Costs</t>
  </si>
  <si>
    <t>Expense Category</t>
  </si>
  <si>
    <t>Annual Spend</t>
  </si>
  <si>
    <t>Yearly</t>
  </si>
  <si>
    <t>FINANCIAL REPORTING FY 2025</t>
  </si>
  <si>
    <t>Apex Consumer Products Pvt. Ltd. operates across Mumbai, Pune, and Bengaluru. This converts granular, transaction-level operational logs into a dynamic, multi-criteria monthly P&amp;L statement, department variance report, automated data quality control checks, and an executive BI dashboard.</t>
  </si>
  <si>
    <t>(All figures are in Indian rupees (INR), unless stated otherwise.)</t>
  </si>
  <si>
    <t>APEX CONSUMER PRODUCTS PVT. LTD. — FY'25 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</si>
</sst>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%"/>
    <numFmt numFmtId="167" formatCode="#,##0;\(#,##0\)"/>
    <numFmt numFmtId="172" formatCode="&quot;₹&quot;\ #,##0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5"/>
      <color rgb="FFFFFFFF"/>
      <name val="Segoe UI"/>
    </font>
    <font>
      <i/>
      <sz val="10"/>
      <color rgb="FF595959"/>
      <name val="Segoe UI"/>
    </font>
    <font>
      <b/>
      <sz val="11"/>
      <color rgb="FF000000"/>
      <name val="Segoe UI"/>
    </font>
    <font>
      <b/>
      <sz val="11"/>
      <color rgb="FF1F4E79"/>
      <name val="Segoe UI"/>
    </font>
    <font>
      <b/>
      <sz val="10"/>
      <color rgb="FF375623"/>
      <name val="Segoe UI"/>
    </font>
    <font>
      <b/>
      <sz val="9"/>
      <color rgb="FF595959"/>
      <name val="Segoe UI"/>
    </font>
    <font>
      <b/>
      <sz val="18"/>
      <color rgb="FF1F4E79"/>
      <name val="Segoe UI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b/>
      <sz val="11"/>
      <color theme="1"/>
      <name val="Calibri"/>
      <family val="2"/>
      <scheme val="minor"/>
    </font>
    <font>
      <i/>
      <sz val="9"/>
      <color rgb="FF595959"/>
      <name val="Segoe UI"/>
      <family val="2"/>
    </font>
    <font>
      <sz val="9"/>
      <color theme="1"/>
      <name val="Calibri"/>
      <family val="2"/>
      <scheme val="minor"/>
    </font>
    <font>
      <b/>
      <sz val="15"/>
      <color rgb="FFFFFFFF"/>
      <name val="Segoe UI"/>
      <family val="2"/>
    </font>
    <font>
      <b/>
      <sz val="11"/>
      <color theme="3" tint="-0.249977111117893"/>
      <name val="Segoe UI"/>
      <family val="2"/>
    </font>
    <font>
      <sz val="11"/>
      <color theme="3" tint="-0.249977111117893"/>
      <name val="Calibri"/>
      <family val="2"/>
      <scheme val="minor"/>
    </font>
    <font>
      <b/>
      <sz val="18"/>
      <color rgb="FFFFFFFF"/>
      <name val="Segoe UI"/>
      <family val="2"/>
    </font>
    <font>
      <sz val="18"/>
      <color theme="1"/>
      <name val="Calibri"/>
      <family val="2"/>
      <scheme val="minor"/>
    </font>
    <font>
      <b/>
      <sz val="10"/>
      <color rgb="FF1F4E79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E9EEF4"/>
        <bgColor rgb="FFE9EEF4"/>
      </patternFill>
    </fill>
    <fill>
      <patternFill patternType="solid">
        <fgColor rgb="FFE2EFDA"/>
        <bgColor rgb="FFE2EFDA"/>
      </patternFill>
    </fill>
    <fill>
      <patternFill patternType="solid">
        <fgColor rgb="FFF8F9FA"/>
        <bgColor rgb="FFF8F9FA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D6B656"/>
      </left>
      <right style="medium">
        <color rgb="FFD6B656"/>
      </right>
      <top style="medium">
        <color rgb="FFD6B656"/>
      </top>
      <bottom style="medium">
        <color rgb="FFD6B65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206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5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66" fontId="5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indent="1"/>
    </xf>
    <xf numFmtId="0" fontId="5" fillId="6" borderId="1" xfId="0" applyFont="1" applyFill="1" applyBorder="1" applyAlignment="1">
      <alignment horizontal="left"/>
    </xf>
    <xf numFmtId="166" fontId="5" fillId="6" borderId="1" xfId="0" applyNumberFormat="1" applyFont="1" applyFill="1" applyBorder="1" applyAlignment="1">
      <alignment horizontal="right"/>
    </xf>
    <xf numFmtId="166" fontId="2" fillId="6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0" borderId="0" xfId="0" applyFont="1"/>
    <xf numFmtId="0" fontId="1" fillId="5" borderId="1" xfId="0" applyFont="1" applyFill="1" applyBorder="1" applyAlignment="1">
      <alignment horizontal="left" vertical="center"/>
    </xf>
    <xf numFmtId="0" fontId="5" fillId="0" borderId="1" xfId="0" applyFont="1" applyBorder="1"/>
    <xf numFmtId="166" fontId="0" fillId="0" borderId="1" xfId="0" applyNumberFormat="1" applyBorder="1"/>
    <xf numFmtId="3" fontId="5" fillId="0" borderId="1" xfId="0" applyNumberFormat="1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right"/>
    </xf>
    <xf numFmtId="0" fontId="5" fillId="6" borderId="3" xfId="0" applyFont="1" applyFill="1" applyBorder="1"/>
    <xf numFmtId="166" fontId="5" fillId="6" borderId="3" xfId="0" applyNumberFormat="1" applyFont="1" applyFill="1" applyBorder="1"/>
    <xf numFmtId="0" fontId="10" fillId="6" borderId="3" xfId="0" applyFont="1" applyFill="1" applyBorder="1"/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/>
    </xf>
    <xf numFmtId="166" fontId="5" fillId="0" borderId="5" xfId="0" applyNumberFormat="1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0" fontId="5" fillId="6" borderId="3" xfId="0" applyFont="1" applyFill="1" applyBorder="1" applyAlignment="1">
      <alignment horizontal="left"/>
    </xf>
    <xf numFmtId="166" fontId="5" fillId="6" borderId="3" xfId="0" applyNumberFormat="1" applyFont="1" applyFill="1" applyBorder="1" applyAlignment="1">
      <alignment horizontal="right"/>
    </xf>
    <xf numFmtId="166" fontId="2" fillId="6" borderId="3" xfId="0" applyNumberFormat="1" applyFont="1" applyFill="1" applyBorder="1" applyAlignment="1">
      <alignment horizontal="right"/>
    </xf>
    <xf numFmtId="14" fontId="0" fillId="0" borderId="0" xfId="0" applyNumberFormat="1"/>
    <xf numFmtId="0" fontId="0" fillId="0" borderId="0" xfId="0"/>
    <xf numFmtId="0" fontId="8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 indent="1"/>
    </xf>
    <xf numFmtId="0" fontId="2" fillId="0" borderId="1" xfId="0" applyFont="1" applyBorder="1"/>
    <xf numFmtId="0" fontId="0" fillId="0" borderId="1" xfId="0" applyBorder="1"/>
    <xf numFmtId="0" fontId="11" fillId="0" borderId="0" xfId="0" applyFont="1" applyAlignment="1">
      <alignment vertical="top" wrapText="1"/>
    </xf>
    <xf numFmtId="167" fontId="5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167" fontId="5" fillId="6" borderId="1" xfId="0" applyNumberFormat="1" applyFont="1" applyFill="1" applyBorder="1" applyAlignment="1">
      <alignment horizontal="right"/>
    </xf>
    <xf numFmtId="167" fontId="2" fillId="6" borderId="1" xfId="0" applyNumberFormat="1" applyFont="1" applyFill="1" applyBorder="1" applyAlignment="1">
      <alignment horizontal="right"/>
    </xf>
    <xf numFmtId="167" fontId="5" fillId="6" borderId="3" xfId="0" applyNumberFormat="1" applyFont="1" applyFill="1" applyBorder="1" applyAlignment="1">
      <alignment horizontal="right"/>
    </xf>
    <xf numFmtId="167" fontId="2" fillId="6" borderId="3" xfId="0" applyNumberFormat="1" applyFont="1" applyFill="1" applyBorder="1" applyAlignment="1">
      <alignment horizontal="right"/>
    </xf>
    <xf numFmtId="167" fontId="0" fillId="0" borderId="1" xfId="0" applyNumberFormat="1" applyBorder="1"/>
    <xf numFmtId="167" fontId="5" fillId="0" borderId="1" xfId="0" applyNumberFormat="1" applyFont="1" applyBorder="1"/>
    <xf numFmtId="167" fontId="5" fillId="6" borderId="3" xfId="0" applyNumberFormat="1" applyFont="1" applyFill="1" applyBorder="1"/>
    <xf numFmtId="167" fontId="5" fillId="0" borderId="1" xfId="0" applyNumberFormat="1" applyFont="1" applyBorder="1" applyAlignment="1">
      <alignment horizontal="center"/>
    </xf>
    <xf numFmtId="167" fontId="2" fillId="0" borderId="1" xfId="0" applyNumberFormat="1" applyFont="1" applyBorder="1"/>
    <xf numFmtId="172" fontId="9" fillId="8" borderId="4" xfId="0" applyNumberFormat="1" applyFont="1" applyFill="1" applyBorder="1" applyAlignment="1">
      <alignment horizontal="center" vertical="center"/>
    </xf>
    <xf numFmtId="172" fontId="0" fillId="0" borderId="4" xfId="0" applyNumberFormat="1" applyBorder="1"/>
    <xf numFmtId="0" fontId="14" fillId="0" borderId="0" xfId="0" applyFont="1"/>
    <xf numFmtId="0" fontId="13" fillId="0" borderId="0" xfId="0" applyFont="1"/>
    <xf numFmtId="0" fontId="16" fillId="0" borderId="0" xfId="0" applyFont="1" applyFill="1" applyAlignment="1">
      <alignment vertical="center"/>
    </xf>
    <xf numFmtId="0" fontId="17" fillId="0" borderId="0" xfId="0" applyFont="1" applyFill="1" applyAlignment="1"/>
    <xf numFmtId="0" fontId="13" fillId="0" borderId="0" xfId="0" applyFont="1" applyAlignment="1">
      <alignment vertical="center"/>
    </xf>
    <xf numFmtId="0" fontId="14" fillId="0" borderId="0" xfId="0" applyFont="1" applyAlignment="1"/>
    <xf numFmtId="0" fontId="15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/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Department Revenue vs. Operating Profit Contribution</a:t>
            </a:r>
          </a:p>
        </c:rich>
      </c:tx>
      <c:overlay val="1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7217034737572376"/>
          <c:y val="0.10244535430890596"/>
          <c:w val="0.79545714274789925"/>
          <c:h val="0.77095582020531594"/>
        </c:manualLayout>
      </c:layout>
      <c:barChart>
        <c:barDir val="col"/>
        <c:grouping val="clustered"/>
        <c:varyColors val="1"/>
        <c:ser>
          <c:idx val="0"/>
          <c:order val="0"/>
          <c:tx>
            <c:v>Gross Revenue</c:v>
          </c:tx>
          <c:spPr>
            <a:solidFill>
              <a:srgbClr val="17375E"/>
            </a:solidFill>
            <a:ln>
              <a:prstDash val="solid"/>
            </a:ln>
          </c:spPr>
          <c:invertIfNegative val="1"/>
          <c:cat>
            <c:strRef>
              <c:f>Dashboard!$J$38:$J$42</c:f>
              <c:strCache>
                <c:ptCount val="5"/>
                <c:pt idx="0">
                  <c:v>Sales</c:v>
                </c:pt>
                <c:pt idx="1">
                  <c:v>Operations</c:v>
                </c:pt>
                <c:pt idx="2">
                  <c:v>Marketing</c:v>
                </c:pt>
                <c:pt idx="3">
                  <c:v>Finance</c:v>
                </c:pt>
                <c:pt idx="4">
                  <c:v>Human Resources</c:v>
                </c:pt>
              </c:strCache>
            </c:strRef>
          </c:cat>
          <c:val>
            <c:numRef>
              <c:f>Dashboard!$K$38:$K$42</c:f>
              <c:numCache>
                <c:formatCode>#,##0;\(#,##0\)</c:formatCode>
                <c:ptCount val="5"/>
                <c:pt idx="0">
                  <c:v>12684215</c:v>
                </c:pt>
                <c:pt idx="1">
                  <c:v>7931024</c:v>
                </c:pt>
                <c:pt idx="2">
                  <c:v>8932268</c:v>
                </c:pt>
                <c:pt idx="3">
                  <c:v>2688215</c:v>
                </c:pt>
                <c:pt idx="4">
                  <c:v>4242315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8F-447A-ABD2-6609D935DDED}"/>
            </c:ext>
          </c:extLst>
        </c:ser>
        <c:ser>
          <c:idx val="1"/>
          <c:order val="1"/>
          <c:tx>
            <c:v>Operating Profit</c:v>
          </c:tx>
          <c:spPr>
            <a:solidFill>
              <a:srgbClr val="376092"/>
            </a:solidFill>
            <a:ln>
              <a:prstDash val="solid"/>
            </a:ln>
          </c:spPr>
          <c:invertIfNegative val="1"/>
          <c:cat>
            <c:strRef>
              <c:f>Dashboard!$J$38:$J$42</c:f>
              <c:strCache>
                <c:ptCount val="5"/>
                <c:pt idx="0">
                  <c:v>Sales</c:v>
                </c:pt>
                <c:pt idx="1">
                  <c:v>Operations</c:v>
                </c:pt>
                <c:pt idx="2">
                  <c:v>Marketing</c:v>
                </c:pt>
                <c:pt idx="3">
                  <c:v>Finance</c:v>
                </c:pt>
                <c:pt idx="4">
                  <c:v>Human Resources</c:v>
                </c:pt>
              </c:strCache>
            </c:strRef>
          </c:cat>
          <c:val>
            <c:numRef>
              <c:f>Dashboard!$M$38:$M$42</c:f>
              <c:numCache>
                <c:formatCode>#,##0;\(#,##0\)</c:formatCode>
                <c:ptCount val="5"/>
                <c:pt idx="0">
                  <c:v>6776372</c:v>
                </c:pt>
                <c:pt idx="1">
                  <c:v>2966581</c:v>
                </c:pt>
                <c:pt idx="2">
                  <c:v>5301741</c:v>
                </c:pt>
                <c:pt idx="3">
                  <c:v>465258</c:v>
                </c:pt>
                <c:pt idx="4">
                  <c:v>2505198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8F-447A-ABD2-6609D935D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;\(#,##0\)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77718303085711959"/>
          <c:y val="0.12682503829702546"/>
          <c:w val="0.22281696914288046"/>
          <c:h val="0.14194112224422886"/>
        </c:manualLayout>
      </c:layout>
      <c:overlay val="1"/>
      <c:spPr>
        <a:noFill/>
      </c:spPr>
    </c:legend>
    <c:plotVisOnly val="1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Regional Hub Revenue vs. Operating Costs</a:t>
            </a:r>
          </a:p>
        </c:rich>
      </c:tx>
      <c:layout>
        <c:manualLayout>
          <c:xMode val="edge"/>
          <c:yMode val="edge"/>
          <c:x val="0.25557175156011586"/>
          <c:y val="7.8494585109762632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2300203595145832"/>
          <c:y val="0.1121028287195221"/>
          <c:w val="0.7474045378987566"/>
          <c:h val="0.78796445144677485"/>
        </c:manualLayout>
      </c:layout>
      <c:barChart>
        <c:barDir val="col"/>
        <c:grouping val="clustered"/>
        <c:varyColors val="1"/>
        <c:ser>
          <c:idx val="0"/>
          <c:order val="0"/>
          <c:tx>
            <c:v>Gross Revenue</c:v>
          </c:tx>
          <c:spPr>
            <a:solidFill>
              <a:srgbClr val="17375E"/>
            </a:solidFill>
            <a:ln>
              <a:prstDash val="solid"/>
            </a:ln>
          </c:spPr>
          <c:invertIfNegative val="1"/>
          <c:cat>
            <c:strRef>
              <c:f>Dashboard!$J$32:$J$34</c:f>
              <c:strCache>
                <c:ptCount val="3"/>
                <c:pt idx="0">
                  <c:v>Mumbai</c:v>
                </c:pt>
                <c:pt idx="1">
                  <c:v>Pune</c:v>
                </c:pt>
                <c:pt idx="2">
                  <c:v>Bengaluru</c:v>
                </c:pt>
              </c:strCache>
            </c:strRef>
          </c:cat>
          <c:val>
            <c:numRef>
              <c:f>Dashboard!$K$32:$K$34</c:f>
              <c:numCache>
                <c:formatCode>#,##0;\(#,##0\)</c:formatCode>
                <c:ptCount val="3"/>
                <c:pt idx="0">
                  <c:v>11746590</c:v>
                </c:pt>
                <c:pt idx="1">
                  <c:v>11439438</c:v>
                </c:pt>
                <c:pt idx="2">
                  <c:v>13292009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4F-4D42-9B8D-328D03DCE84A}"/>
            </c:ext>
          </c:extLst>
        </c:ser>
        <c:ser>
          <c:idx val="1"/>
          <c:order val="1"/>
          <c:tx>
            <c:v>Operating Costs</c:v>
          </c:tx>
          <c:spPr>
            <a:solidFill>
              <a:srgbClr val="376092"/>
            </a:solidFill>
            <a:ln>
              <a:prstDash val="solid"/>
            </a:ln>
          </c:spPr>
          <c:invertIfNegative val="1"/>
          <c:cat>
            <c:strRef>
              <c:f>Dashboard!$J$32:$J$34</c:f>
              <c:strCache>
                <c:ptCount val="3"/>
                <c:pt idx="0">
                  <c:v>Mumbai</c:v>
                </c:pt>
                <c:pt idx="1">
                  <c:v>Pune</c:v>
                </c:pt>
                <c:pt idx="2">
                  <c:v>Bengaluru</c:v>
                </c:pt>
              </c:strCache>
            </c:strRef>
          </c:cat>
          <c:val>
            <c:numRef>
              <c:f>Dashboard!$M$32:$M$34</c:f>
              <c:numCache>
                <c:formatCode>#,##0;\(#,##0\)</c:formatCode>
                <c:ptCount val="3"/>
                <c:pt idx="0">
                  <c:v>5669875</c:v>
                </c:pt>
                <c:pt idx="1">
                  <c:v>6136226</c:v>
                </c:pt>
                <c:pt idx="2">
                  <c:v>6292835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E4F-4D42-9B8D-328D03DCE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;\(#,##0\)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468705004805505"/>
          <c:y val="1.0359009731438617E-3"/>
          <c:w val="0.21993232701562054"/>
          <c:h val="0.14426789944536267"/>
        </c:manualLayout>
      </c:layout>
      <c:overlay val="1"/>
    </c:legend>
    <c:plotVisOnly val="1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Annual OPEX Cost Structure by Category</a:t>
            </a:r>
          </a:p>
        </c:rich>
      </c:tx>
      <c:layout>
        <c:manualLayout>
          <c:xMode val="edge"/>
          <c:yMode val="edge"/>
          <c:x val="0.3073855944646988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924286598111597E-2"/>
          <c:y val="0.10503624604107312"/>
          <c:w val="0.55056101509171784"/>
          <c:h val="0.86125735625934374"/>
        </c:manualLayout>
      </c:layout>
      <c:doughnutChart>
        <c:varyColors val="1"/>
        <c:ser>
          <c:idx val="0"/>
          <c:order val="0"/>
          <c:tx>
            <c:strRef>
              <c:f>Dashboard!$C$47</c:f>
              <c:strCache>
                <c:ptCount val="1"/>
                <c:pt idx="0">
                  <c:v>Annual Spend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64-4C37-A88F-C50F44B36020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64-4C37-A88F-C50F44B3602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64-4C37-A88F-C50F44B36020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64-4C37-A88F-C50F44B36020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64-4C37-A88F-C50F44B36020}"/>
              </c:ext>
            </c:extLst>
          </c:dPt>
          <c:dLbls>
            <c:dLbl>
              <c:idx val="0"/>
              <c:layout>
                <c:manualLayout>
                  <c:x val="0.12268906412958992"/>
                  <c:y val="-0.2612713774120162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64-4C37-A88F-C50F44B36020}"/>
                </c:ext>
              </c:extLst>
            </c:dLbl>
            <c:dLbl>
              <c:idx val="1"/>
              <c:layout>
                <c:manualLayout>
                  <c:x val="-0.14058121931515513"/>
                  <c:y val="0.1247863295102167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64-4C37-A88F-C50F44B36020}"/>
                </c:ext>
              </c:extLst>
            </c:dLbl>
            <c:dLbl>
              <c:idx val="2"/>
              <c:layout>
                <c:manualLayout>
                  <c:x val="-0.14569326365388804"/>
                  <c:y val="-7.01923103494969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64-4C37-A88F-C50F44B36020}"/>
                </c:ext>
              </c:extLst>
            </c:dLbl>
            <c:dLbl>
              <c:idx val="3"/>
              <c:layout>
                <c:manualLayout>
                  <c:x val="-0.10479690894402474"/>
                  <c:y val="-0.1676816302793537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64-4C37-A88F-C50F44B36020}"/>
                </c:ext>
              </c:extLst>
            </c:dLbl>
            <c:dLbl>
              <c:idx val="4"/>
              <c:layout>
                <c:manualLayout>
                  <c:x val="-2.8116243863031069E-2"/>
                  <c:y val="-0.2144765038456850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64-4C37-A88F-C50F44B360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Dashboard!$B$48:$B$52</c:f>
              <c:strCache>
                <c:ptCount val="5"/>
                <c:pt idx="0">
                  <c:v>Salaries &amp; Wages</c:v>
                </c:pt>
                <c:pt idx="1">
                  <c:v>Marketing Expense</c:v>
                </c:pt>
                <c:pt idx="2">
                  <c:v>Rent &amp; Utilities</c:v>
                </c:pt>
                <c:pt idx="3">
                  <c:v>Logistics Expense</c:v>
                </c:pt>
                <c:pt idx="4">
                  <c:v>Software &amp; Admin</c:v>
                </c:pt>
              </c:strCache>
            </c:strRef>
          </c:cat>
          <c:val>
            <c:numRef>
              <c:f>Dashboard!$C$48:$C$52</c:f>
              <c:numCache>
                <c:formatCode>#,##0;\(#,##0\)</c:formatCode>
                <c:ptCount val="5"/>
                <c:pt idx="0">
                  <c:v>4364750</c:v>
                </c:pt>
                <c:pt idx="1">
                  <c:v>1380160</c:v>
                </c:pt>
                <c:pt idx="2">
                  <c:v>823516</c:v>
                </c:pt>
                <c:pt idx="3">
                  <c:v>906194</c:v>
                </c:pt>
                <c:pt idx="4">
                  <c:v>417988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0-414A-BE52-E36E9F217C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1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281836</xdr:colOff>
      <xdr:row>8</xdr:row>
      <xdr:rowOff>114820</xdr:rowOff>
    </xdr:from>
    <xdr:ext cx="4707698" cy="323589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18369</xdr:colOff>
      <xdr:row>8</xdr:row>
      <xdr:rowOff>135696</xdr:rowOff>
    </xdr:from>
    <xdr:ext cx="4720643" cy="318370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866383</xdr:colOff>
      <xdr:row>8</xdr:row>
      <xdr:rowOff>156575</xdr:rowOff>
    </xdr:from>
    <xdr:ext cx="4968658" cy="3256767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7"/>
  <sheetViews>
    <sheetView showGridLines="0" tabSelected="1" workbookViewId="0">
      <selection activeCell="B17" sqref="B10:B17"/>
    </sheetView>
  </sheetViews>
  <sheetFormatPr defaultRowHeight="14.4" x14ac:dyDescent="0.3"/>
  <cols>
    <col min="1" max="1" width="5.6640625" customWidth="1"/>
    <col min="2" max="3" width="45" customWidth="1"/>
    <col min="4" max="8" width="16" customWidth="1"/>
  </cols>
  <sheetData>
    <row r="2" spans="2:8" ht="30.6" customHeight="1" x14ac:dyDescent="0.45">
      <c r="B2" s="70" t="s">
        <v>0</v>
      </c>
      <c r="C2" s="71"/>
      <c r="D2" s="71"/>
      <c r="E2" s="71"/>
      <c r="F2" s="71"/>
      <c r="G2" s="71"/>
      <c r="H2" s="71"/>
    </row>
    <row r="3" spans="2:8" ht="16.8" x14ac:dyDescent="0.3">
      <c r="B3" s="60" t="s">
        <v>1815</v>
      </c>
      <c r="C3" s="61"/>
      <c r="D3" s="61"/>
      <c r="E3" s="61"/>
      <c r="F3" s="61"/>
      <c r="G3" s="61"/>
      <c r="H3" s="61"/>
    </row>
    <row r="5" spans="2:8" ht="16.8" x14ac:dyDescent="0.4">
      <c r="B5" s="1" t="s">
        <v>1</v>
      </c>
    </row>
    <row r="6" spans="2:8" x14ac:dyDescent="0.3">
      <c r="B6" s="44" t="s">
        <v>1816</v>
      </c>
      <c r="C6" s="38"/>
      <c r="D6" s="38"/>
      <c r="E6" s="38"/>
      <c r="F6" s="38"/>
      <c r="G6" s="38"/>
      <c r="H6" s="38"/>
    </row>
    <row r="7" spans="2:8" x14ac:dyDescent="0.3">
      <c r="B7" s="38"/>
      <c r="C7" s="38"/>
      <c r="D7" s="38"/>
      <c r="E7" s="38"/>
      <c r="F7" s="38"/>
      <c r="G7" s="38"/>
      <c r="H7" s="38"/>
    </row>
    <row r="9" spans="2:8" ht="16.8" x14ac:dyDescent="0.4">
      <c r="B9" s="1" t="s">
        <v>2</v>
      </c>
    </row>
    <row r="10" spans="2:8" ht="15" x14ac:dyDescent="0.35">
      <c r="B10" s="72" t="s">
        <v>3</v>
      </c>
      <c r="C10" s="42" t="s">
        <v>4</v>
      </c>
      <c r="D10" s="43"/>
      <c r="E10" s="43"/>
      <c r="F10" s="43"/>
      <c r="G10" s="43"/>
      <c r="H10" s="43"/>
    </row>
    <row r="11" spans="2:8" ht="15" x14ac:dyDescent="0.35">
      <c r="B11" s="72" t="s">
        <v>5</v>
      </c>
      <c r="C11" s="42" t="s">
        <v>6</v>
      </c>
      <c r="D11" s="43"/>
      <c r="E11" s="43"/>
      <c r="F11" s="43"/>
      <c r="G11" s="43"/>
      <c r="H11" s="43"/>
    </row>
    <row r="12" spans="2:8" ht="15" x14ac:dyDescent="0.35">
      <c r="B12" s="72" t="s">
        <v>7</v>
      </c>
      <c r="C12" s="42" t="s">
        <v>8</v>
      </c>
      <c r="D12" s="43"/>
      <c r="E12" s="43"/>
      <c r="F12" s="43"/>
      <c r="G12" s="43"/>
      <c r="H12" s="43"/>
    </row>
    <row r="13" spans="2:8" ht="15" x14ac:dyDescent="0.35">
      <c r="B13" s="72" t="s">
        <v>9</v>
      </c>
      <c r="C13" s="42" t="s">
        <v>10</v>
      </c>
      <c r="D13" s="43"/>
      <c r="E13" s="43"/>
      <c r="F13" s="43"/>
      <c r="G13" s="43"/>
      <c r="H13" s="43"/>
    </row>
    <row r="14" spans="2:8" ht="15" x14ac:dyDescent="0.35">
      <c r="B14" s="72" t="s">
        <v>11</v>
      </c>
      <c r="C14" s="42" t="s">
        <v>12</v>
      </c>
      <c r="D14" s="43"/>
      <c r="E14" s="43"/>
      <c r="F14" s="43"/>
      <c r="G14" s="43"/>
      <c r="H14" s="43"/>
    </row>
    <row r="15" spans="2:8" ht="15" x14ac:dyDescent="0.35">
      <c r="B15" s="72" t="s">
        <v>13</v>
      </c>
      <c r="C15" s="42" t="s">
        <v>14</v>
      </c>
      <c r="D15" s="43"/>
      <c r="E15" s="43"/>
      <c r="F15" s="43"/>
      <c r="G15" s="43"/>
      <c r="H15" s="43"/>
    </row>
    <row r="16" spans="2:8" ht="15" x14ac:dyDescent="0.35">
      <c r="B16" s="72" t="s">
        <v>15</v>
      </c>
      <c r="C16" s="42" t="s">
        <v>16</v>
      </c>
      <c r="D16" s="43"/>
      <c r="E16" s="43"/>
      <c r="F16" s="43"/>
      <c r="G16" s="43"/>
      <c r="H16" s="43"/>
    </row>
    <row r="17" spans="2:8" ht="15" x14ac:dyDescent="0.35">
      <c r="B17" s="72" t="s">
        <v>17</v>
      </c>
      <c r="C17" s="42" t="s">
        <v>18</v>
      </c>
      <c r="D17" s="43"/>
      <c r="E17" s="43"/>
      <c r="F17" s="43"/>
      <c r="G17" s="43"/>
      <c r="H17" s="43"/>
    </row>
  </sheetData>
  <mergeCells count="11">
    <mergeCell ref="B2:H2"/>
    <mergeCell ref="C17:H17"/>
    <mergeCell ref="C12:H12"/>
    <mergeCell ref="B3:H3"/>
    <mergeCell ref="C15:H15"/>
    <mergeCell ref="C14:H14"/>
    <mergeCell ref="C13:H13"/>
    <mergeCell ref="C11:H11"/>
    <mergeCell ref="B6:H7"/>
    <mergeCell ref="C10:H10"/>
    <mergeCell ref="C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N52"/>
  <sheetViews>
    <sheetView showGridLines="0" zoomScale="88" zoomScaleNormal="88" workbookViewId="0">
      <selection sqref="A1:K1"/>
    </sheetView>
  </sheetViews>
  <sheetFormatPr defaultRowHeight="14.4" x14ac:dyDescent="0.3"/>
  <cols>
    <col min="1" max="1" width="14.21875" customWidth="1"/>
    <col min="2" max="2" width="16.33203125" bestFit="1" customWidth="1"/>
    <col min="3" max="3" width="15.109375" bestFit="1" customWidth="1"/>
    <col min="4" max="4" width="13.33203125" bestFit="1" customWidth="1"/>
    <col min="5" max="5" width="16.5546875" bestFit="1" customWidth="1"/>
    <col min="6" max="6" width="20.44140625" bestFit="1" customWidth="1"/>
    <col min="7" max="7" width="16.5546875" bestFit="1" customWidth="1"/>
    <col min="8" max="8" width="20.44140625" bestFit="1" customWidth="1"/>
    <col min="9" max="9" width="15.109375" bestFit="1" customWidth="1"/>
    <col min="10" max="10" width="18.109375" bestFit="1" customWidth="1"/>
    <col min="11" max="11" width="16.21875" bestFit="1" customWidth="1"/>
    <col min="12" max="12" width="13" customWidth="1"/>
    <col min="13" max="13" width="29" customWidth="1"/>
    <col min="14" max="14" width="15" customWidth="1"/>
  </cols>
  <sheetData>
    <row r="1" spans="1:11" ht="34.049999999999997" customHeight="1" x14ac:dyDescent="0.3">
      <c r="A1" s="64" t="s">
        <v>1818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x14ac:dyDescent="0.3">
      <c r="A2" s="59" t="s">
        <v>1817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4" spans="1:11" x14ac:dyDescent="0.3">
      <c r="B4" s="39" t="s">
        <v>1796</v>
      </c>
      <c r="C4" s="38"/>
      <c r="D4" s="39" t="s">
        <v>1797</v>
      </c>
      <c r="E4" s="38"/>
      <c r="F4" s="39" t="s">
        <v>1798</v>
      </c>
      <c r="G4" s="38"/>
      <c r="H4" s="39" t="s">
        <v>1799</v>
      </c>
      <c r="I4" s="38"/>
    </row>
    <row r="5" spans="1:11" ht="27" x14ac:dyDescent="0.3">
      <c r="B5" s="56">
        <f>SUMIF(Raw_Data!$D:$D,4000,Raw_Data!$I:$I)</f>
        <v>36478037</v>
      </c>
      <c r="C5" s="57"/>
      <c r="D5" s="56">
        <f>SUMIF(Raw_Data!$D:$D,4000,Raw_Data!$I:$I)-SUMIF(Raw_Data!$D:$D,4100,Raw_Data!$I:$I)</f>
        <v>36114086</v>
      </c>
      <c r="E5" s="57"/>
      <c r="F5" s="56">
        <f>D5-SUMIF(Raw_Data!$D:$D,5000,Raw_Data!$I:$I)</f>
        <v>25907758</v>
      </c>
      <c r="G5" s="57"/>
      <c r="H5" s="56">
        <f>F5-SUM(SUMIF(Raw_Data!$D:$D,{6000,6100,6200,6300,6400},Raw_Data!$I:$I))</f>
        <v>18015150</v>
      </c>
      <c r="I5" s="57"/>
    </row>
    <row r="6" spans="1:11" ht="15" x14ac:dyDescent="0.3">
      <c r="B6" s="40" t="s">
        <v>1800</v>
      </c>
      <c r="C6" s="38"/>
      <c r="D6" s="40" t="s">
        <v>1801</v>
      </c>
      <c r="E6" s="38"/>
      <c r="F6" s="40" t="str">
        <f>TEXT(F5/D5,"0.0%") &amp; " Gross Margin"</f>
        <v>71.7% Gross Margin</v>
      </c>
      <c r="G6" s="38"/>
      <c r="H6" s="40" t="str">
        <f>TEXT(H5/D5,"0.0%") &amp; " Op Margin"</f>
        <v>49.9% Op Margin</v>
      </c>
      <c r="I6" s="38"/>
    </row>
    <row r="7" spans="1:11" ht="15" x14ac:dyDescent="0.3">
      <c r="B7" s="30"/>
      <c r="D7" s="30"/>
      <c r="F7" s="30"/>
      <c r="H7" s="30"/>
    </row>
    <row r="8" spans="1:11" ht="15" x14ac:dyDescent="0.3">
      <c r="B8" s="30"/>
      <c r="D8" s="30"/>
      <c r="F8" s="30"/>
      <c r="H8" s="30"/>
    </row>
    <row r="9" spans="1:11" ht="15" x14ac:dyDescent="0.3">
      <c r="B9" s="30"/>
      <c r="D9" s="30"/>
      <c r="F9" s="30"/>
      <c r="H9" s="30"/>
    </row>
    <row r="10" spans="1:11" ht="15" x14ac:dyDescent="0.3">
      <c r="B10" s="30"/>
      <c r="D10" s="30"/>
      <c r="F10" s="30"/>
      <c r="H10" s="30"/>
    </row>
    <row r="11" spans="1:11" ht="15" x14ac:dyDescent="0.3">
      <c r="B11" s="30"/>
      <c r="D11" s="30"/>
      <c r="F11" s="30"/>
      <c r="H11" s="30"/>
    </row>
    <row r="12" spans="1:11" ht="15" x14ac:dyDescent="0.3">
      <c r="B12" s="30"/>
      <c r="D12" s="30"/>
      <c r="F12" s="30"/>
      <c r="H12" s="30"/>
    </row>
    <row r="13" spans="1:11" ht="15" x14ac:dyDescent="0.3">
      <c r="B13" s="30"/>
      <c r="D13" s="30"/>
      <c r="F13" s="30"/>
      <c r="H13" s="30"/>
    </row>
    <row r="14" spans="1:11" ht="15" x14ac:dyDescent="0.3">
      <c r="B14" s="30"/>
      <c r="D14" s="30"/>
      <c r="F14" s="30"/>
      <c r="H14" s="30"/>
    </row>
    <row r="15" spans="1:11" ht="15" x14ac:dyDescent="0.3">
      <c r="B15" s="30"/>
      <c r="D15" s="30"/>
      <c r="F15" s="30"/>
      <c r="H15" s="30"/>
    </row>
    <row r="16" spans="1:11" ht="15" x14ac:dyDescent="0.3">
      <c r="B16" s="30"/>
      <c r="D16" s="30"/>
      <c r="F16" s="30"/>
      <c r="H16" s="30"/>
    </row>
    <row r="17" spans="2:13" ht="15" x14ac:dyDescent="0.3">
      <c r="B17" s="30"/>
      <c r="D17" s="30"/>
      <c r="F17" s="30"/>
      <c r="H17" s="30"/>
    </row>
    <row r="18" spans="2:13" ht="15" x14ac:dyDescent="0.3">
      <c r="B18" s="30"/>
      <c r="D18" s="30"/>
      <c r="F18" s="30"/>
      <c r="H18" s="30"/>
    </row>
    <row r="19" spans="2:13" ht="15" x14ac:dyDescent="0.3">
      <c r="B19" s="30"/>
      <c r="D19" s="30"/>
      <c r="F19" s="30"/>
      <c r="H19" s="30"/>
    </row>
    <row r="20" spans="2:13" ht="15" x14ac:dyDescent="0.3">
      <c r="B20" s="30"/>
      <c r="D20" s="30"/>
      <c r="F20" s="30"/>
      <c r="H20" s="30"/>
    </row>
    <row r="21" spans="2:13" ht="15" x14ac:dyDescent="0.3">
      <c r="B21" s="30"/>
      <c r="D21" s="30"/>
      <c r="F21" s="30"/>
      <c r="H21" s="30"/>
    </row>
    <row r="22" spans="2:13" ht="15" x14ac:dyDescent="0.3">
      <c r="B22" s="30"/>
      <c r="D22" s="30"/>
      <c r="F22" s="30"/>
      <c r="H22" s="30"/>
    </row>
    <row r="23" spans="2:13" ht="15" x14ac:dyDescent="0.3">
      <c r="B23" s="30"/>
      <c r="D23" s="30"/>
      <c r="F23" s="30"/>
      <c r="H23" s="30"/>
    </row>
    <row r="24" spans="2:13" ht="15" x14ac:dyDescent="0.3">
      <c r="B24" s="30"/>
      <c r="D24" s="30"/>
      <c r="F24" s="30"/>
      <c r="H24" s="30"/>
    </row>
    <row r="25" spans="2:13" ht="15" x14ac:dyDescent="0.3">
      <c r="B25" s="30"/>
      <c r="D25" s="30"/>
      <c r="F25" s="30"/>
      <c r="H25" s="30"/>
    </row>
    <row r="26" spans="2:13" ht="15" x14ac:dyDescent="0.3">
      <c r="B26" s="30"/>
      <c r="D26" s="30"/>
      <c r="F26" s="30"/>
      <c r="H26" s="30"/>
    </row>
    <row r="27" spans="2:13" ht="15" x14ac:dyDescent="0.3">
      <c r="B27" s="30"/>
      <c r="D27" s="30"/>
      <c r="F27" s="30"/>
      <c r="H27" s="30"/>
    </row>
    <row r="28" spans="2:13" ht="15" x14ac:dyDescent="0.3">
      <c r="B28" s="30"/>
      <c r="D28" s="30"/>
      <c r="F28" s="30"/>
      <c r="H28" s="30"/>
    </row>
    <row r="30" spans="2:13" ht="16.8" x14ac:dyDescent="0.3">
      <c r="B30" s="41" t="s">
        <v>1802</v>
      </c>
      <c r="C30" s="38"/>
      <c r="D30" s="38"/>
      <c r="E30" s="38"/>
      <c r="F30" s="38"/>
      <c r="G30" s="38"/>
      <c r="H30" s="38"/>
      <c r="J30" s="41" t="s">
        <v>1806</v>
      </c>
      <c r="K30" s="38"/>
      <c r="L30" s="38"/>
      <c r="M30" s="38"/>
    </row>
    <row r="31" spans="2:13" ht="16.8" x14ac:dyDescent="0.3">
      <c r="B31" s="23" t="s">
        <v>37</v>
      </c>
      <c r="C31" s="24" t="s">
        <v>1803</v>
      </c>
      <c r="D31" s="24" t="s">
        <v>1749</v>
      </c>
      <c r="E31" s="24" t="s">
        <v>29</v>
      </c>
      <c r="F31" s="24" t="s">
        <v>1804</v>
      </c>
      <c r="G31" s="24" t="s">
        <v>1767</v>
      </c>
      <c r="H31" s="24" t="s">
        <v>1761</v>
      </c>
      <c r="J31" s="23" t="s">
        <v>1809</v>
      </c>
      <c r="K31" s="24" t="s">
        <v>1764</v>
      </c>
      <c r="L31" s="24" t="s">
        <v>1810</v>
      </c>
      <c r="M31" s="24" t="s">
        <v>1811</v>
      </c>
    </row>
    <row r="32" spans="2:13" ht="16.8" x14ac:dyDescent="0.4">
      <c r="B32" s="2" t="str">
        <f>TEXT(DATE(2025,1,1),"mmm yyyy")</f>
        <v>Jan 2025</v>
      </c>
      <c r="C32" s="51">
        <f>SUMIFS(Raw_Data!$I:$I,Raw_Data!$C:$C,DATE(2025,1,1),Raw_Data!$D:$D,4000)</f>
        <v>3181013</v>
      </c>
      <c r="D32" s="51">
        <f>C32-SUMIFS(Raw_Data!$I:$I,Raw_Data!$C:$C,DATE(2025,1,1),Raw_Data!$D:$D,4100)</f>
        <v>3154941</v>
      </c>
      <c r="E32" s="51">
        <f>SUMIFS(Raw_Data!$I:$I,Raw_Data!$C:$C,DATE(2025,1,1),Raw_Data!$D:$D,5000)</f>
        <v>650668</v>
      </c>
      <c r="F32" s="51">
        <f>SUM(SUMIFS(Raw_Data!$I:$I,Raw_Data!$C:$C,DATE(2025,1,1),Raw_Data!$D:$D,{6000,6100,6200,6300,6400}))</f>
        <v>729446</v>
      </c>
      <c r="G32" s="52">
        <f t="shared" ref="G32:G43" si="0">D32-E32-F32</f>
        <v>1774827</v>
      </c>
      <c r="H32" s="20">
        <f t="shared" ref="H32:H44" si="1">IFERROR(G32/D32,0)</f>
        <v>0.56255473557191715</v>
      </c>
      <c r="J32" s="2" t="s">
        <v>42</v>
      </c>
      <c r="K32" s="51">
        <f>SUMIFS(Raw_Data!$I:$I,Raw_Data!$D:$D,4000,Raw_Data!$H:$H,"Mumbai")</f>
        <v>11746590</v>
      </c>
      <c r="L32" s="20">
        <f>IFERROR(SUMIFS(Raw_Data!$I:$I,Raw_Data!$D:$D,4100,Raw_Data!$H:$H,"Mumbai")/K32,0)</f>
        <v>4.586607687848133E-3</v>
      </c>
      <c r="M32" s="51">
        <f>SUM(SUMIFS(Raw_Data!$I:$I,Raw_Data!$D:$D,{5000,6000,6100,6200,6300,6400},Raw_Data!$H:$H,"Mumbai"))</f>
        <v>5669875</v>
      </c>
    </row>
    <row r="33" spans="2:14" ht="16.8" x14ac:dyDescent="0.4">
      <c r="B33" s="2" t="str">
        <f>TEXT(DATE(2025,2,1),"mmm yyyy")</f>
        <v>Feb 2025</v>
      </c>
      <c r="C33" s="51">
        <f>SUMIFS(Raw_Data!$I:$I,Raw_Data!$C:$C,DATE(2025,2,1),Raw_Data!$D:$D,4000)</f>
        <v>3177694</v>
      </c>
      <c r="D33" s="51">
        <f>C33-SUMIFS(Raw_Data!$I:$I,Raw_Data!$C:$C,DATE(2025,2,1),Raw_Data!$D:$D,4100)</f>
        <v>3176463</v>
      </c>
      <c r="E33" s="51">
        <f>SUMIFS(Raw_Data!$I:$I,Raw_Data!$C:$C,DATE(2025,2,1),Raw_Data!$D:$D,5000)</f>
        <v>867851</v>
      </c>
      <c r="F33" s="51">
        <f>SUM(SUMIFS(Raw_Data!$I:$I,Raw_Data!$C:$C,DATE(2025,2,1),Raw_Data!$D:$D,{6000,6100,6200,6300,6400}))</f>
        <v>703792</v>
      </c>
      <c r="G33" s="52">
        <f t="shared" si="0"/>
        <v>1604820</v>
      </c>
      <c r="H33" s="20">
        <f t="shared" si="1"/>
        <v>0.50522231803109308</v>
      </c>
      <c r="J33" s="2" t="s">
        <v>44</v>
      </c>
      <c r="K33" s="51">
        <f>SUMIFS(Raw_Data!$I:$I,Raw_Data!$D:$D,4000,Raw_Data!$H:$H,"Pune")</f>
        <v>11439438</v>
      </c>
      <c r="L33" s="20">
        <f>IFERROR(SUMIFS(Raw_Data!$I:$I,Raw_Data!$D:$D,4100,Raw_Data!$H:$H,"Pune")/K33,0)</f>
        <v>1.2286530159960656E-2</v>
      </c>
      <c r="M33" s="51">
        <f>SUM(SUMIFS(Raw_Data!$I:$I,Raw_Data!$D:$D,{5000,6000,6100,6200,6300,6400},Raw_Data!$H:$H,"Pune"))</f>
        <v>6136226</v>
      </c>
    </row>
    <row r="34" spans="2:14" ht="16.8" x14ac:dyDescent="0.4">
      <c r="B34" s="2" t="str">
        <f>TEXT(DATE(2025,3,1),"mmm yyyy")</f>
        <v>Mar 2025</v>
      </c>
      <c r="C34" s="51">
        <f>SUMIFS(Raw_Data!$I:$I,Raw_Data!$C:$C,DATE(2025,3,1),Raw_Data!$D:$D,4000)</f>
        <v>3713338</v>
      </c>
      <c r="D34" s="51">
        <f>C34-SUMIFS(Raw_Data!$I:$I,Raw_Data!$C:$C,DATE(2025,3,1),Raw_Data!$D:$D,4100)</f>
        <v>3682821</v>
      </c>
      <c r="E34" s="51">
        <f>SUMIFS(Raw_Data!$I:$I,Raw_Data!$C:$C,DATE(2025,3,1),Raw_Data!$D:$D,5000)</f>
        <v>1036516</v>
      </c>
      <c r="F34" s="51">
        <f>SUM(SUMIFS(Raw_Data!$I:$I,Raw_Data!$C:$C,DATE(2025,3,1),Raw_Data!$D:$D,{6000,6100,6200,6300,6400}))</f>
        <v>580769</v>
      </c>
      <c r="G34" s="52">
        <f t="shared" si="0"/>
        <v>2065536</v>
      </c>
      <c r="H34" s="20">
        <f t="shared" si="1"/>
        <v>0.56085701694434786</v>
      </c>
      <c r="J34" s="2" t="s">
        <v>46</v>
      </c>
      <c r="K34" s="51">
        <f>SUMIFS(Raw_Data!$I:$I,Raw_Data!$D:$D,4000,Raw_Data!$H:$H,"Bengaluru")</f>
        <v>13292009</v>
      </c>
      <c r="L34" s="20">
        <f>IFERROR(SUMIFS(Raw_Data!$I:$I,Raw_Data!$D:$D,4100,Raw_Data!$H:$H,"Bengaluru")/K34,0)</f>
        <v>1.2753753025596056E-2</v>
      </c>
      <c r="M34" s="51">
        <f>SUM(SUMIFS(Raw_Data!$I:$I,Raw_Data!$D:$D,{5000,6000,6100,6200,6300,6400},Raw_Data!$H:$H,"Bengaluru"))</f>
        <v>6292835</v>
      </c>
    </row>
    <row r="35" spans="2:14" ht="16.8" x14ac:dyDescent="0.4">
      <c r="B35" s="2" t="str">
        <f>TEXT(DATE(2025,4,1),"mmm yyyy")</f>
        <v>Apr 2025</v>
      </c>
      <c r="C35" s="51">
        <f>SUMIFS(Raw_Data!$I:$I,Raw_Data!$C:$C,DATE(2025,4,1),Raw_Data!$D:$D,4000)</f>
        <v>3168119</v>
      </c>
      <c r="D35" s="51">
        <f>C35-SUMIFS(Raw_Data!$I:$I,Raw_Data!$C:$C,DATE(2025,4,1),Raw_Data!$D:$D,4100)</f>
        <v>3109274</v>
      </c>
      <c r="E35" s="51">
        <f>SUMIFS(Raw_Data!$I:$I,Raw_Data!$C:$C,DATE(2025,4,1),Raw_Data!$D:$D,5000)</f>
        <v>846665</v>
      </c>
      <c r="F35" s="51">
        <f>SUM(SUMIFS(Raw_Data!$I:$I,Raw_Data!$C:$C,DATE(2025,4,1),Raw_Data!$D:$D,{6000,6100,6200,6300,6400}))</f>
        <v>531720</v>
      </c>
      <c r="G35" s="52">
        <f t="shared" si="0"/>
        <v>1730889</v>
      </c>
      <c r="H35" s="20">
        <f t="shared" si="1"/>
        <v>0.55668590159632125</v>
      </c>
    </row>
    <row r="36" spans="2:14" ht="16.8" x14ac:dyDescent="0.4">
      <c r="B36" s="2" t="str">
        <f>TEXT(DATE(2025,5,1),"mmm yyyy")</f>
        <v>May 2025</v>
      </c>
      <c r="C36" s="51">
        <f>SUMIFS(Raw_Data!$I:$I,Raw_Data!$C:$C,DATE(2025,5,1),Raw_Data!$D:$D,4000)</f>
        <v>3585691</v>
      </c>
      <c r="D36" s="51">
        <f>C36-SUMIFS(Raw_Data!$I:$I,Raw_Data!$C:$C,DATE(2025,5,1),Raw_Data!$D:$D,4100)</f>
        <v>3542234</v>
      </c>
      <c r="E36" s="51">
        <f>SUMIFS(Raw_Data!$I:$I,Raw_Data!$C:$C,DATE(2025,5,1),Raw_Data!$D:$D,5000)</f>
        <v>885998</v>
      </c>
      <c r="F36" s="51">
        <f>SUM(SUMIFS(Raw_Data!$I:$I,Raw_Data!$C:$C,DATE(2025,5,1),Raw_Data!$D:$D,{6000,6100,6200,6300,6400}))</f>
        <v>582719</v>
      </c>
      <c r="G36" s="52">
        <f t="shared" si="0"/>
        <v>2073517</v>
      </c>
      <c r="H36" s="20">
        <f t="shared" si="1"/>
        <v>0.5853698541654786</v>
      </c>
      <c r="J36" s="41" t="s">
        <v>1805</v>
      </c>
      <c r="K36" s="38"/>
      <c r="L36" s="38"/>
      <c r="M36" s="38"/>
      <c r="N36" s="38"/>
    </row>
    <row r="37" spans="2:14" ht="16.8" x14ac:dyDescent="0.4">
      <c r="B37" s="2" t="str">
        <f>TEXT(DATE(2025,6,1),"mmm yyyy")</f>
        <v>Jun 2025</v>
      </c>
      <c r="C37" s="51">
        <f>SUMIFS(Raw_Data!$I:$I,Raw_Data!$C:$C,DATE(2025,6,1),Raw_Data!$D:$D,4000)</f>
        <v>3091649</v>
      </c>
      <c r="D37" s="51">
        <f>C37-SUMIFS(Raw_Data!$I:$I,Raw_Data!$C:$C,DATE(2025,6,1),Raw_Data!$D:$D,4100)</f>
        <v>3040641</v>
      </c>
      <c r="E37" s="51">
        <f>SUMIFS(Raw_Data!$I:$I,Raw_Data!$C:$C,DATE(2025,6,1),Raw_Data!$D:$D,5000)</f>
        <v>1011306</v>
      </c>
      <c r="F37" s="51">
        <f>SUM(SUMIFS(Raw_Data!$I:$I,Raw_Data!$C:$C,DATE(2025,6,1),Raw_Data!$D:$D,{6000,6100,6200,6300,6400}))</f>
        <v>622566</v>
      </c>
      <c r="G37" s="52">
        <f t="shared" si="0"/>
        <v>1406769</v>
      </c>
      <c r="H37" s="20">
        <f t="shared" si="1"/>
        <v>0.46265540719867948</v>
      </c>
      <c r="J37" s="23" t="s">
        <v>38</v>
      </c>
      <c r="K37" s="24" t="s">
        <v>1764</v>
      </c>
      <c r="L37" s="24" t="s">
        <v>1808</v>
      </c>
      <c r="M37" s="24" t="s">
        <v>1767</v>
      </c>
      <c r="N37" s="24" t="s">
        <v>1761</v>
      </c>
    </row>
    <row r="38" spans="2:14" ht="16.8" x14ac:dyDescent="0.4">
      <c r="B38" s="2" t="str">
        <f>TEXT(DATE(2025,7,1),"mmm yyyy")</f>
        <v>Jul 2025</v>
      </c>
      <c r="C38" s="51">
        <f>SUMIFS(Raw_Data!$I:$I,Raw_Data!$C:$C,DATE(2025,7,1),Raw_Data!$D:$D,4000)</f>
        <v>2998343</v>
      </c>
      <c r="D38" s="51">
        <f>C38-SUMIFS(Raw_Data!$I:$I,Raw_Data!$C:$C,DATE(2025,7,1),Raw_Data!$D:$D,4100)</f>
        <v>2974028</v>
      </c>
      <c r="E38" s="51">
        <f>SUMIFS(Raw_Data!$I:$I,Raw_Data!$C:$C,DATE(2025,7,1),Raw_Data!$D:$D,5000)</f>
        <v>796366</v>
      </c>
      <c r="F38" s="51">
        <f>SUM(SUMIFS(Raw_Data!$I:$I,Raw_Data!$C:$C,DATE(2025,7,1),Raw_Data!$D:$D,{6000,6100,6200,6300,6400}))</f>
        <v>589548</v>
      </c>
      <c r="G38" s="52">
        <f t="shared" si="0"/>
        <v>1588114</v>
      </c>
      <c r="H38" s="20">
        <f t="shared" si="1"/>
        <v>0.53399429998641568</v>
      </c>
      <c r="J38" s="2" t="s">
        <v>41</v>
      </c>
      <c r="K38" s="51">
        <f>SUMIFS(Raw_Data!$I:$I,Raw_Data!$D:$D,4000,Raw_Data!$G:$G,"Sales")</f>
        <v>12684215</v>
      </c>
      <c r="L38" s="20">
        <f>K38/$C$44</f>
        <v>0.34772197308753211</v>
      </c>
      <c r="M38" s="51">
        <f>(SUMIFS(Raw_Data!$I:$I,Raw_Data!$D:$D,4000,Raw_Data!$G:$G,"Sales")-SUMIFS(Raw_Data!$I:$I,Raw_Data!$D:$D,4100,Raw_Data!$G:$G,"Sales"))-SUMIFS(Raw_Data!$I:$I,Raw_Data!$D:$D,5000,Raw_Data!$G:$G,"Sales")-SUM(SUMIFS(Raw_Data!$I:$I,Raw_Data!$D:$D,{6000,6100,6200,6300,6400},Raw_Data!$G:$G,"Sales"))</f>
        <v>6776372</v>
      </c>
      <c r="N38" s="20">
        <f>IFERROR(M38/K38,0)</f>
        <v>0.53423660825679786</v>
      </c>
    </row>
    <row r="39" spans="2:14" ht="16.8" x14ac:dyDescent="0.4">
      <c r="B39" s="2" t="str">
        <f>TEXT(DATE(2025,8,1),"mmm yyyy")</f>
        <v>Aug 2025</v>
      </c>
      <c r="C39" s="51">
        <f>SUMIFS(Raw_Data!$I:$I,Raw_Data!$C:$C,DATE(2025,8,1),Raw_Data!$D:$D,4000)</f>
        <v>2057689</v>
      </c>
      <c r="D39" s="51">
        <f>C39-SUMIFS(Raw_Data!$I:$I,Raw_Data!$C:$C,DATE(2025,8,1),Raw_Data!$D:$D,4100)</f>
        <v>2025024</v>
      </c>
      <c r="E39" s="51">
        <f>SUMIFS(Raw_Data!$I:$I,Raw_Data!$C:$C,DATE(2025,8,1),Raw_Data!$D:$D,5000)</f>
        <v>805027</v>
      </c>
      <c r="F39" s="51">
        <f>SUM(SUMIFS(Raw_Data!$I:$I,Raw_Data!$C:$C,DATE(2025,8,1),Raw_Data!$D:$D,{6000,6100,6200,6300,6400}))</f>
        <v>700459</v>
      </c>
      <c r="G39" s="52">
        <f t="shared" si="0"/>
        <v>519538</v>
      </c>
      <c r="H39" s="20">
        <f t="shared" si="1"/>
        <v>0.25655893461015772</v>
      </c>
      <c r="J39" s="2" t="s">
        <v>43</v>
      </c>
      <c r="K39" s="51">
        <f>SUMIFS(Raw_Data!$I:$I,Raw_Data!$D:$D,4000,Raw_Data!$G:$G,"Operations")</f>
        <v>7931024</v>
      </c>
      <c r="L39" s="20">
        <f>K39/$C$44</f>
        <v>0.21741915553186153</v>
      </c>
      <c r="M39" s="51">
        <f>(SUMIFS(Raw_Data!$I:$I,Raw_Data!$D:$D,4000,Raw_Data!$G:$G,"Operations")-SUMIFS(Raw_Data!$I:$I,Raw_Data!$D:$D,4100,Raw_Data!$G:$G,"Operations"))-SUMIFS(Raw_Data!$I:$I,Raw_Data!$D:$D,5000,Raw_Data!$G:$G,"Operations")-SUM(SUMIFS(Raw_Data!$I:$I,Raw_Data!$D:$D,{6000,6100,6200,6300,6400},Raw_Data!$G:$G,"Operations"))</f>
        <v>2966581</v>
      </c>
      <c r="N39" s="20">
        <f>IFERROR(M39/K39,0)</f>
        <v>0.37404766395865147</v>
      </c>
    </row>
    <row r="40" spans="2:14" ht="16.8" x14ac:dyDescent="0.4">
      <c r="B40" s="2" t="str">
        <f>TEXT(DATE(2025,9,1),"mmm yyyy")</f>
        <v>Sep 2025</v>
      </c>
      <c r="C40" s="51">
        <f>SUMIFS(Raw_Data!$I:$I,Raw_Data!$C:$C,DATE(2025,9,1),Raw_Data!$D:$D,4000)</f>
        <v>2108233</v>
      </c>
      <c r="D40" s="51">
        <f>C40-SUMIFS(Raw_Data!$I:$I,Raw_Data!$C:$C,DATE(2025,9,1),Raw_Data!$D:$D,4100)</f>
        <v>2095641</v>
      </c>
      <c r="E40" s="51">
        <f>SUMIFS(Raw_Data!$I:$I,Raw_Data!$C:$C,DATE(2025,9,1),Raw_Data!$D:$D,5000)</f>
        <v>557888</v>
      </c>
      <c r="F40" s="51">
        <f>SUM(SUMIFS(Raw_Data!$I:$I,Raw_Data!$C:$C,DATE(2025,9,1),Raw_Data!$D:$D,{6000,6100,6200,6300,6400}))</f>
        <v>928260</v>
      </c>
      <c r="G40" s="52">
        <f t="shared" si="0"/>
        <v>609493</v>
      </c>
      <c r="H40" s="20">
        <f t="shared" si="1"/>
        <v>0.29083845944987713</v>
      </c>
      <c r="J40" s="2" t="s">
        <v>45</v>
      </c>
      <c r="K40" s="51">
        <f>SUMIFS(Raw_Data!$I:$I,Raw_Data!$D:$D,4000,Raw_Data!$G:$G,"Marketing")</f>
        <v>8932268</v>
      </c>
      <c r="L40" s="20">
        <f>K40/$C$44</f>
        <v>0.24486701408850481</v>
      </c>
      <c r="M40" s="51">
        <f>(SUMIFS(Raw_Data!$I:$I,Raw_Data!$D:$D,4000,Raw_Data!$G:$G,"Marketing")-SUMIFS(Raw_Data!$I:$I,Raw_Data!$D:$D,4100,Raw_Data!$G:$G,"Marketing"))-SUMIFS(Raw_Data!$I:$I,Raw_Data!$D:$D,5000,Raw_Data!$G:$G,"Marketing")-SUM(SUMIFS(Raw_Data!$I:$I,Raw_Data!$D:$D,{6000,6100,6200,6300,6400},Raw_Data!$G:$G,"Marketing"))</f>
        <v>5301741</v>
      </c>
      <c r="N40" s="20">
        <f>IFERROR(M40/K40,0)</f>
        <v>0.59354925311242346</v>
      </c>
    </row>
    <row r="41" spans="2:14" ht="16.8" x14ac:dyDescent="0.4">
      <c r="B41" s="2" t="str">
        <f>TEXT(DATE(2025,10,1),"mmm yyyy")</f>
        <v>Oct 2025</v>
      </c>
      <c r="C41" s="51">
        <f>SUMIFS(Raw_Data!$I:$I,Raw_Data!$C:$C,DATE(2025,10,1),Raw_Data!$D:$D,4000)</f>
        <v>3814888</v>
      </c>
      <c r="D41" s="51">
        <f>C41-SUMIFS(Raw_Data!$I:$I,Raw_Data!$C:$C,DATE(2025,10,1),Raw_Data!$D:$D,4100)</f>
        <v>3787693</v>
      </c>
      <c r="E41" s="51">
        <f>SUMIFS(Raw_Data!$I:$I,Raw_Data!$C:$C,DATE(2025,10,1),Raw_Data!$D:$D,5000)</f>
        <v>911288</v>
      </c>
      <c r="F41" s="51">
        <f>SUM(SUMIFS(Raw_Data!$I:$I,Raw_Data!$C:$C,DATE(2025,10,1),Raw_Data!$D:$D,{6000,6100,6200,6300,6400}))</f>
        <v>554116</v>
      </c>
      <c r="G41" s="52">
        <f t="shared" si="0"/>
        <v>2322289</v>
      </c>
      <c r="H41" s="20">
        <f t="shared" si="1"/>
        <v>0.61311436803352326</v>
      </c>
      <c r="J41" s="2" t="s">
        <v>47</v>
      </c>
      <c r="K41" s="51">
        <f>SUMIFS(Raw_Data!$I:$I,Raw_Data!$D:$D,4000,Raw_Data!$G:$G,"Finance")</f>
        <v>2688215</v>
      </c>
      <c r="L41" s="20">
        <f>K41/$C$44</f>
        <v>7.3694069667180825E-2</v>
      </c>
      <c r="M41" s="51">
        <f>(SUMIFS(Raw_Data!$I:$I,Raw_Data!$D:$D,4000,Raw_Data!$G:$G,"Finance")-SUMIFS(Raw_Data!$I:$I,Raw_Data!$D:$D,4100,Raw_Data!$G:$G,"Finance"))-SUMIFS(Raw_Data!$I:$I,Raw_Data!$D:$D,5000,Raw_Data!$G:$G,"Finance")-SUM(SUMIFS(Raw_Data!$I:$I,Raw_Data!$D:$D,{6000,6100,6200,6300,6400},Raw_Data!$G:$G,"Finance"))</f>
        <v>465258</v>
      </c>
      <c r="N41" s="20">
        <f>IFERROR(M41/K41,0)</f>
        <v>0.17307321029009956</v>
      </c>
    </row>
    <row r="42" spans="2:14" ht="16.8" x14ac:dyDescent="0.4">
      <c r="B42" s="2" t="str">
        <f>TEXT(DATE(2025,11,1),"mmm yyyy")</f>
        <v>Nov 2025</v>
      </c>
      <c r="C42" s="51">
        <f>SUMIFS(Raw_Data!$I:$I,Raw_Data!$C:$C,DATE(2025,11,1),Raw_Data!$D:$D,4000)</f>
        <v>2496949</v>
      </c>
      <c r="D42" s="51">
        <f>C42-SUMIFS(Raw_Data!$I:$I,Raw_Data!$C:$C,DATE(2025,11,1),Raw_Data!$D:$D,4100)</f>
        <v>2472448</v>
      </c>
      <c r="E42" s="51">
        <f>SUMIFS(Raw_Data!$I:$I,Raw_Data!$C:$C,DATE(2025,11,1),Raw_Data!$D:$D,5000)</f>
        <v>794994</v>
      </c>
      <c r="F42" s="51">
        <f>SUM(SUMIFS(Raw_Data!$I:$I,Raw_Data!$C:$C,DATE(2025,11,1),Raw_Data!$D:$D,{6000,6100,6200,6300,6400}))</f>
        <v>820205</v>
      </c>
      <c r="G42" s="52">
        <f t="shared" si="0"/>
        <v>857249</v>
      </c>
      <c r="H42" s="20">
        <f t="shared" si="1"/>
        <v>0.34672073993062746</v>
      </c>
      <c r="J42" s="2" t="s">
        <v>48</v>
      </c>
      <c r="K42" s="51">
        <f>SUMIFS(Raw_Data!$I:$I,Raw_Data!$D:$D,4000,Raw_Data!$G:$G,"Human Resources")</f>
        <v>4242315</v>
      </c>
      <c r="L42" s="20">
        <f>K42/$C$44</f>
        <v>0.11629778762492071</v>
      </c>
      <c r="M42" s="51">
        <f>(SUMIFS(Raw_Data!$I:$I,Raw_Data!$D:$D,4000,Raw_Data!$G:$G,"Human Resources")-SUMIFS(Raw_Data!$I:$I,Raw_Data!$D:$D,4100,Raw_Data!$G:$G,"Human Resources"))-SUMIFS(Raw_Data!$I:$I,Raw_Data!$D:$D,5000,Raw_Data!$G:$G,"Human Resources")-SUM(SUMIFS(Raw_Data!$I:$I,Raw_Data!$D:$D,{6000,6100,6200,6300,6400},Raw_Data!$G:$G,"Human Resources"))</f>
        <v>2505198</v>
      </c>
      <c r="N42" s="20">
        <f>IFERROR(M42/K42,0)</f>
        <v>0.59052616319155937</v>
      </c>
    </row>
    <row r="43" spans="2:14" ht="16.8" x14ac:dyDescent="0.4">
      <c r="B43" s="2" t="str">
        <f>TEXT(DATE(2025,12,1),"mmm yyyy")</f>
        <v>Dec 2025</v>
      </c>
      <c r="C43" s="51">
        <f>SUMIFS(Raw_Data!$I:$I,Raw_Data!$C:$C,DATE(2025,12,1),Raw_Data!$D:$D,4000)</f>
        <v>3084431</v>
      </c>
      <c r="D43" s="51">
        <f>C43-SUMIFS(Raw_Data!$I:$I,Raw_Data!$C:$C,DATE(2025,12,1),Raw_Data!$D:$D,4100)</f>
        <v>3052878</v>
      </c>
      <c r="E43" s="51">
        <f>SUMIFS(Raw_Data!$I:$I,Raw_Data!$C:$C,DATE(2025,12,1),Raw_Data!$D:$D,5000)</f>
        <v>1041761</v>
      </c>
      <c r="F43" s="51">
        <f>SUM(SUMIFS(Raw_Data!$I:$I,Raw_Data!$C:$C,DATE(2025,12,1),Raw_Data!$D:$D,{6000,6100,6200,6300,6400}))</f>
        <v>549008</v>
      </c>
      <c r="G43" s="52">
        <f t="shared" si="0"/>
        <v>1462109</v>
      </c>
      <c r="H43" s="20">
        <f t="shared" si="1"/>
        <v>0.4789280803228953</v>
      </c>
    </row>
    <row r="44" spans="2:14" ht="16.8" x14ac:dyDescent="0.4">
      <c r="B44" s="29" t="s">
        <v>1814</v>
      </c>
      <c r="C44" s="53">
        <f>SUM(C32:C43)</f>
        <v>36478037</v>
      </c>
      <c r="D44" s="53">
        <f>SUM(D32:D43)</f>
        <v>36114086</v>
      </c>
      <c r="E44" s="53">
        <f>SUM(E32:E43)</f>
        <v>10206328</v>
      </c>
      <c r="F44" s="53">
        <f>SUM(F32:F43)</f>
        <v>7892608</v>
      </c>
      <c r="G44" s="53">
        <f>SUM(G32:G43)</f>
        <v>18015150</v>
      </c>
      <c r="H44" s="28">
        <f t="shared" si="1"/>
        <v>0.49883998171793686</v>
      </c>
    </row>
    <row r="46" spans="2:14" ht="16.8" x14ac:dyDescent="0.3">
      <c r="B46" s="41" t="s">
        <v>1807</v>
      </c>
      <c r="C46" s="38"/>
    </row>
    <row r="47" spans="2:14" ht="16.8" x14ac:dyDescent="0.4">
      <c r="B47" s="25" t="s">
        <v>1812</v>
      </c>
      <c r="C47" s="26" t="s">
        <v>1813</v>
      </c>
    </row>
    <row r="48" spans="2:14" ht="15" x14ac:dyDescent="0.35">
      <c r="B48" s="2" t="s">
        <v>30</v>
      </c>
      <c r="C48" s="55">
        <f>SUMIF(Raw_Data!$D:$D,6000,Raw_Data!$I:$I)</f>
        <v>4364750</v>
      </c>
    </row>
    <row r="49" spans="2:3" ht="15" x14ac:dyDescent="0.35">
      <c r="B49" s="2" t="s">
        <v>32</v>
      </c>
      <c r="C49" s="55">
        <f>SUMIF(Raw_Data!$D:$D,6100,Raw_Data!$I:$I)</f>
        <v>1380160</v>
      </c>
    </row>
    <row r="50" spans="2:3" ht="15" x14ac:dyDescent="0.35">
      <c r="B50" s="2" t="s">
        <v>33</v>
      </c>
      <c r="C50" s="55">
        <f>SUMIF(Raw_Data!$D:$D,6200,Raw_Data!$I:$I)</f>
        <v>823516</v>
      </c>
    </row>
    <row r="51" spans="2:3" ht="15" x14ac:dyDescent="0.35">
      <c r="B51" s="2" t="s">
        <v>34</v>
      </c>
      <c r="C51" s="55">
        <f>SUMIF(Raw_Data!$D:$D,6300,Raw_Data!$I:$I)</f>
        <v>906194</v>
      </c>
    </row>
    <row r="52" spans="2:3" ht="15" x14ac:dyDescent="0.35">
      <c r="B52" s="2" t="s">
        <v>35</v>
      </c>
      <c r="C52" s="55">
        <f>SUMIF(Raw_Data!$D:$D,6400,Raw_Data!$I:$I)</f>
        <v>417988</v>
      </c>
    </row>
  </sheetData>
  <mergeCells count="18">
    <mergeCell ref="B30:H30"/>
    <mergeCell ref="B46:C46"/>
    <mergeCell ref="H6:I6"/>
    <mergeCell ref="J36:N36"/>
    <mergeCell ref="B5:C5"/>
    <mergeCell ref="F5:G5"/>
    <mergeCell ref="D5:E5"/>
    <mergeCell ref="J30:M30"/>
    <mergeCell ref="A1:K1"/>
    <mergeCell ref="B4:C4"/>
    <mergeCell ref="A2:K2"/>
    <mergeCell ref="F6:G6"/>
    <mergeCell ref="D4:E4"/>
    <mergeCell ref="H5:I5"/>
    <mergeCell ref="H4:I4"/>
    <mergeCell ref="D6:E6"/>
    <mergeCell ref="B6:C6"/>
    <mergeCell ref="F4:G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G25"/>
  <sheetViews>
    <sheetView showGridLines="0" workbookViewId="0">
      <selection sqref="A1:G1"/>
    </sheetView>
  </sheetViews>
  <sheetFormatPr defaultRowHeight="14.4" x14ac:dyDescent="0.3"/>
  <cols>
    <col min="1" max="1" width="45" customWidth="1"/>
    <col min="2" max="2" width="17" customWidth="1"/>
    <col min="3" max="3" width="14" customWidth="1"/>
    <col min="4" max="4" width="17" customWidth="1"/>
    <col min="5" max="5" width="14" customWidth="1"/>
    <col min="6" max="6" width="20" customWidth="1"/>
    <col min="7" max="7" width="15" customWidth="1"/>
  </cols>
  <sheetData>
    <row r="1" spans="1:7" ht="31.95" customHeight="1" x14ac:dyDescent="0.3">
      <c r="A1" s="66" t="s">
        <v>1735</v>
      </c>
      <c r="B1" s="65"/>
      <c r="C1" s="65"/>
      <c r="D1" s="65"/>
      <c r="E1" s="65"/>
      <c r="F1" s="65"/>
      <c r="G1" s="65"/>
    </row>
    <row r="2" spans="1:7" x14ac:dyDescent="0.3">
      <c r="A2" s="62" t="s">
        <v>1817</v>
      </c>
      <c r="B2" s="63"/>
      <c r="C2" s="63"/>
      <c r="D2" s="63"/>
      <c r="E2" s="63"/>
      <c r="F2" s="63"/>
      <c r="G2" s="63"/>
    </row>
    <row r="4" spans="1:7" ht="16.8" x14ac:dyDescent="0.4">
      <c r="B4" s="1" t="s">
        <v>1736</v>
      </c>
      <c r="C4" s="5">
        <v>2025</v>
      </c>
    </row>
    <row r="5" spans="1:7" ht="16.8" x14ac:dyDescent="0.4">
      <c r="B5" s="1" t="s">
        <v>1737</v>
      </c>
      <c r="C5" s="5">
        <v>4</v>
      </c>
    </row>
    <row r="6" spans="1:7" ht="16.8" x14ac:dyDescent="0.4">
      <c r="B6" s="1" t="s">
        <v>1738</v>
      </c>
      <c r="C6" s="5" t="s">
        <v>40</v>
      </c>
    </row>
    <row r="7" spans="1:7" ht="16.8" x14ac:dyDescent="0.4">
      <c r="B7" s="1" t="s">
        <v>1739</v>
      </c>
      <c r="C7" s="5" t="s">
        <v>40</v>
      </c>
    </row>
    <row r="8" spans="1:7" ht="16.8" x14ac:dyDescent="0.4">
      <c r="B8" s="1" t="s">
        <v>1740</v>
      </c>
      <c r="C8" s="6" t="str">
        <f>TEXT(DATE(C4,C5,1),"mmmm yyyy")</f>
        <v>April 2025</v>
      </c>
      <c r="F8" s="37"/>
    </row>
    <row r="10" spans="1:7" ht="24" customHeight="1" x14ac:dyDescent="0.3">
      <c r="A10" s="7" t="s">
        <v>1741</v>
      </c>
      <c r="B10" s="8" t="s">
        <v>1742</v>
      </c>
      <c r="C10" s="8" t="s">
        <v>13</v>
      </c>
      <c r="D10" s="8" t="s">
        <v>1743</v>
      </c>
      <c r="E10" s="8" t="s">
        <v>1744</v>
      </c>
      <c r="F10" s="8" t="s">
        <v>1745</v>
      </c>
      <c r="G10" s="8" t="s">
        <v>1746</v>
      </c>
    </row>
    <row r="11" spans="1:7" ht="16.8" x14ac:dyDescent="0.4">
      <c r="A11" s="9" t="s">
        <v>1747</v>
      </c>
      <c r="B11" s="45">
        <f>SUMIFS(Raw_Data!$I:$I,Raw_Data!$C:$C,DATE($C$4,$C$5,1),Raw_Data!$D:$D,4000,Raw_Data!$G:$G,IF($C$6="All","*",$C$6),Raw_Data!$H:$H,IF($C$7="All","*",$C$7))</f>
        <v>3168119</v>
      </c>
      <c r="C11" s="45">
        <f>SUMIFS(Budget!$D:$D,Budget!$A:$A,DATE($C$4,$C$5,1),Budget!$B:$B,4000,Budget!$C:$C,IF($C$6="All","*",$C$6))</f>
        <v>501193</v>
      </c>
      <c r="D11" s="45">
        <f>B11-C11</f>
        <v>2666926</v>
      </c>
      <c r="E11" s="10">
        <f>IFERROR(D11/C11,0)</f>
        <v>5.3211557224462434</v>
      </c>
      <c r="F11" s="46">
        <f>ROUND(C11*0.92, 0)</f>
        <v>461098</v>
      </c>
      <c r="G11" s="11">
        <f>IFERROR((B11-F11)/F11,0)</f>
        <v>5.8708148810014356</v>
      </c>
    </row>
    <row r="12" spans="1:7" ht="15" x14ac:dyDescent="0.35">
      <c r="A12" s="12" t="s">
        <v>1748</v>
      </c>
      <c r="B12" s="46">
        <f>SUMIFS(Raw_Data!$I:$I,Raw_Data!$C:$C,DATE($C$4,$C$5,1),Raw_Data!$D:$D,4100,Raw_Data!$G:$G,IF($C$6="All","*",$C$6),Raw_Data!$H:$H,IF($C$7="All","*",$C$7))</f>
        <v>58845</v>
      </c>
      <c r="C12" s="46">
        <f>SUMIFS(Budget!$D:$D,Budget!$A:$A,DATE($C$4,$C$5,1),Budget!$B:$B,4100,Budget!$C:$C,IF($C$6="All","*",$C$6))</f>
        <v>27227</v>
      </c>
      <c r="D12" s="46">
        <f>C12-B12</f>
        <v>-31618</v>
      </c>
      <c r="E12" s="11">
        <f>IFERROR(D12/C12,0)</f>
        <v>-1.1612737356300731</v>
      </c>
      <c r="F12" s="46">
        <f>ROUND(C12*0.92, 0)</f>
        <v>25049</v>
      </c>
      <c r="G12" s="11">
        <f>IFERROR((B12-F12)/F12,0)</f>
        <v>1.3491955766697272</v>
      </c>
    </row>
    <row r="13" spans="1:7" ht="16.8" x14ac:dyDescent="0.4">
      <c r="A13" s="13" t="s">
        <v>1749</v>
      </c>
      <c r="B13" s="47">
        <f>B11-B12</f>
        <v>3109274</v>
      </c>
      <c r="C13" s="47">
        <f>C11-C12</f>
        <v>473966</v>
      </c>
      <c r="D13" s="47">
        <f>B13-C13</f>
        <v>2635308</v>
      </c>
      <c r="E13" s="14">
        <f>IFERROR(D13/C13,0)</f>
        <v>5.5601203461851698</v>
      </c>
      <c r="F13" s="48">
        <f>ROUND(C13*0.92, 0)</f>
        <v>436049</v>
      </c>
      <c r="G13" s="15">
        <f>IFERROR((B13-F13)/F13,0)</f>
        <v>6.1305610149318079</v>
      </c>
    </row>
    <row r="14" spans="1:7" ht="15" x14ac:dyDescent="0.35">
      <c r="A14" s="4" t="s">
        <v>1750</v>
      </c>
      <c r="B14" s="46">
        <f>SUMIFS(Raw_Data!$I:$I,Raw_Data!$C:$C,DATE($C$4,$C$5,1),Raw_Data!$D:$D,5000,Raw_Data!$G:$G,IF($C$6="All","*",$C$6),Raw_Data!$H:$H,IF($C$7="All","*",$C$7))</f>
        <v>846665</v>
      </c>
      <c r="C14" s="46">
        <f>SUMIFS(Budget!$D:$D,Budget!$A:$A,DATE($C$4,$C$5,1),Budget!$B:$B,5000,Budget!$C:$C,IF($C$6="All","*",$C$6))</f>
        <v>221700</v>
      </c>
      <c r="D14" s="46">
        <f>C14-B14</f>
        <v>-624965</v>
      </c>
      <c r="E14" s="11">
        <f>IFERROR(D14/C14,0)</f>
        <v>-2.8189670726206586</v>
      </c>
      <c r="F14" s="46">
        <f>ROUND(C14*0.92, 0)</f>
        <v>203964</v>
      </c>
      <c r="G14" s="11">
        <f>IFERROR((B14-F14)/F14,0)</f>
        <v>3.1510511658920199</v>
      </c>
    </row>
    <row r="15" spans="1:7" ht="16.8" x14ac:dyDescent="0.4">
      <c r="A15" s="13" t="s">
        <v>1751</v>
      </c>
      <c r="B15" s="47">
        <f>B13-B14</f>
        <v>2262609</v>
      </c>
      <c r="C15" s="47">
        <f>C13-C14</f>
        <v>252266</v>
      </c>
      <c r="D15" s="47">
        <f>B15-C15</f>
        <v>2010343</v>
      </c>
      <c r="E15" s="14">
        <f>IFERROR(D15/C15,0)</f>
        <v>7.9691397175996768</v>
      </c>
      <c r="F15" s="48">
        <f>ROUND(C15*0.92, 0)</f>
        <v>232085</v>
      </c>
      <c r="G15" s="15">
        <f>IFERROR((B15-F15)/F15,0)</f>
        <v>8.7490531486308889</v>
      </c>
    </row>
    <row r="16" spans="1:7" ht="16.8" x14ac:dyDescent="0.4">
      <c r="A16" s="9" t="s">
        <v>1752</v>
      </c>
      <c r="B16" s="10">
        <f>IFERROR(B15/B13,0)</f>
        <v>0.72769688358118323</v>
      </c>
      <c r="C16" s="10">
        <f>IFERROR(C15/C13,0)</f>
        <v>0.53224492896114917</v>
      </c>
      <c r="D16" s="10">
        <f>B16-C16</f>
        <v>0.19545195462003406</v>
      </c>
      <c r="E16" s="10">
        <f>D16</f>
        <v>0.19545195462003406</v>
      </c>
      <c r="F16" s="11">
        <f>C16*0.95</f>
        <v>0.50563268251309168</v>
      </c>
      <c r="G16" s="11">
        <f>B16-F16</f>
        <v>0.22206420106809155</v>
      </c>
    </row>
    <row r="17" spans="1:7" ht="16.8" x14ac:dyDescent="0.4">
      <c r="A17" s="9" t="s">
        <v>1753</v>
      </c>
      <c r="B17" s="16"/>
      <c r="C17" s="16"/>
      <c r="D17" s="16"/>
      <c r="E17" s="16"/>
      <c r="F17" s="16"/>
      <c r="G17" s="16"/>
    </row>
    <row r="18" spans="1:7" ht="15" x14ac:dyDescent="0.35">
      <c r="A18" s="12" t="s">
        <v>1754</v>
      </c>
      <c r="B18" s="46">
        <f>SUMIFS(Raw_Data!$I:$I,Raw_Data!$C:$C,DATE($C$4,$C$5,1),Raw_Data!$D:$D,6000,Raw_Data!$G:$G,IF($C$6="All","*",$C$6),Raw_Data!$H:$H,IF($C$7="All","*",$C$7))</f>
        <v>210120</v>
      </c>
      <c r="C18" s="46">
        <f>SUMIFS(Budget!$D:$D,Budget!$A:$A,DATE($C$4,$C$5,1),Budget!$B:$B,6000,Budget!$C:$C,IF($C$6="All","*",$C$6))</f>
        <v>88761</v>
      </c>
      <c r="D18" s="46">
        <f t="shared" ref="D18:D23" si="0">C18-B18</f>
        <v>-121359</v>
      </c>
      <c r="E18" s="11">
        <f t="shared" ref="E18:E24" si="1">IFERROR(D18/C18,0)</f>
        <v>-1.3672558894108899</v>
      </c>
      <c r="F18" s="46">
        <f t="shared" ref="F18:F24" si="2">ROUND(C18*0.92, 0)</f>
        <v>81660</v>
      </c>
      <c r="G18" s="11">
        <f t="shared" ref="G18:G24" si="3">IFERROR((B18-F18)/F18,0)</f>
        <v>1.5731080088170464</v>
      </c>
    </row>
    <row r="19" spans="1:7" ht="15" x14ac:dyDescent="0.35">
      <c r="A19" s="12" t="s">
        <v>1755</v>
      </c>
      <c r="B19" s="46">
        <f>SUMIFS(Raw_Data!$I:$I,Raw_Data!$C:$C,DATE($C$4,$C$5,1),Raw_Data!$D:$D,6100,Raw_Data!$G:$G,IF($C$6="All","*",$C$6),Raw_Data!$H:$H,IF($C$7="All","*",$C$7))</f>
        <v>155025</v>
      </c>
      <c r="C19" s="46">
        <f>SUMIFS(Budget!$D:$D,Budget!$A:$A,DATE($C$4,$C$5,1),Budget!$B:$B,6100,Budget!$C:$C,IF($C$6="All","*",$C$6))</f>
        <v>38974</v>
      </c>
      <c r="D19" s="46">
        <f t="shared" si="0"/>
        <v>-116051</v>
      </c>
      <c r="E19" s="11">
        <f t="shared" si="1"/>
        <v>-2.9776517678452303</v>
      </c>
      <c r="F19" s="46">
        <f t="shared" si="2"/>
        <v>35856</v>
      </c>
      <c r="G19" s="11">
        <f t="shared" si="3"/>
        <v>3.3235441767068274</v>
      </c>
    </row>
    <row r="20" spans="1:7" ht="15" x14ac:dyDescent="0.35">
      <c r="A20" s="12" t="s">
        <v>1756</v>
      </c>
      <c r="B20" s="46">
        <f>SUMIFS(Raw_Data!$I:$I,Raw_Data!$C:$C,DATE($C$4,$C$5,1),Raw_Data!$D:$D,6200,Raw_Data!$G:$G,IF($C$6="All","*",$C$6),Raw_Data!$H:$H,IF($C$7="All","*",$C$7))</f>
        <v>32359</v>
      </c>
      <c r="C20" s="46">
        <f>SUMIFS(Budget!$D:$D,Budget!$A:$A,DATE($C$4,$C$5,1),Budget!$B:$B,6200,Budget!$C:$C,IF($C$6="All","*",$C$6))</f>
        <v>38127</v>
      </c>
      <c r="D20" s="46">
        <f t="shared" si="0"/>
        <v>5768</v>
      </c>
      <c r="E20" s="11">
        <f t="shared" si="1"/>
        <v>0.15128386707582553</v>
      </c>
      <c r="F20" s="46">
        <f t="shared" si="2"/>
        <v>35077</v>
      </c>
      <c r="G20" s="11">
        <f t="shared" si="3"/>
        <v>-7.748667217835048E-2</v>
      </c>
    </row>
    <row r="21" spans="1:7" ht="15" x14ac:dyDescent="0.35">
      <c r="A21" s="12" t="s">
        <v>1757</v>
      </c>
      <c r="B21" s="46">
        <f>SUMIFS(Raw_Data!$I:$I,Raw_Data!$C:$C,DATE($C$4,$C$5,1),Raw_Data!$D:$D,6300,Raw_Data!$G:$G,IF($C$6="All","*",$C$6),Raw_Data!$H:$H,IF($C$7="All","*",$C$7))</f>
        <v>62353</v>
      </c>
      <c r="C21" s="46">
        <f>SUMIFS(Budget!$D:$D,Budget!$A:$A,DATE($C$4,$C$5,1),Budget!$B:$B,6300,Budget!$C:$C,IF($C$6="All","*",$C$6))</f>
        <v>32329</v>
      </c>
      <c r="D21" s="46">
        <f t="shared" si="0"/>
        <v>-30024</v>
      </c>
      <c r="E21" s="11">
        <f t="shared" si="1"/>
        <v>-0.9287017847752792</v>
      </c>
      <c r="F21" s="46">
        <f t="shared" si="2"/>
        <v>29743</v>
      </c>
      <c r="G21" s="11">
        <f t="shared" si="3"/>
        <v>1.0963924284705644</v>
      </c>
    </row>
    <row r="22" spans="1:7" ht="15" x14ac:dyDescent="0.35">
      <c r="A22" s="12" t="s">
        <v>1758</v>
      </c>
      <c r="B22" s="46">
        <f>SUMIFS(Raw_Data!$I:$I,Raw_Data!$C:$C,DATE($C$4,$C$5,1),Raw_Data!$D:$D,6400,Raw_Data!$G:$G,IF($C$6="All","*",$C$6),Raw_Data!$H:$H,IF($C$7="All","*",$C$7))</f>
        <v>71863</v>
      </c>
      <c r="C22" s="46">
        <f>SUMIFS(Budget!$D:$D,Budget!$A:$A,DATE($C$4,$C$5,1),Budget!$B:$B,6400,Budget!$C:$C,IF($C$6="All","*",$C$6))</f>
        <v>20805</v>
      </c>
      <c r="D22" s="46">
        <f t="shared" si="0"/>
        <v>-51058</v>
      </c>
      <c r="E22" s="11">
        <f t="shared" si="1"/>
        <v>-2.4541216053833215</v>
      </c>
      <c r="F22" s="46">
        <f t="shared" si="2"/>
        <v>19141</v>
      </c>
      <c r="G22" s="11">
        <f t="shared" si="3"/>
        <v>2.7544015464186824</v>
      </c>
    </row>
    <row r="23" spans="1:7" ht="16.8" x14ac:dyDescent="0.4">
      <c r="A23" s="13" t="s">
        <v>1759</v>
      </c>
      <c r="B23" s="47">
        <f>SUM(B18:B22)</f>
        <v>531720</v>
      </c>
      <c r="C23" s="47">
        <f>SUM(C18:C22)</f>
        <v>218996</v>
      </c>
      <c r="D23" s="47">
        <f t="shared" si="0"/>
        <v>-312724</v>
      </c>
      <c r="E23" s="14">
        <f t="shared" si="1"/>
        <v>-1.4279895523205903</v>
      </c>
      <c r="F23" s="48">
        <f t="shared" si="2"/>
        <v>201476</v>
      </c>
      <c r="G23" s="15">
        <f t="shared" si="3"/>
        <v>1.639123270265441</v>
      </c>
    </row>
    <row r="24" spans="1:7" ht="16.8" x14ac:dyDescent="0.4">
      <c r="A24" s="34" t="s">
        <v>1760</v>
      </c>
      <c r="B24" s="49">
        <f>B15-B23</f>
        <v>1730889</v>
      </c>
      <c r="C24" s="49">
        <f>C15-C23</f>
        <v>33270</v>
      </c>
      <c r="D24" s="49">
        <f>B24-C24</f>
        <v>1697619</v>
      </c>
      <c r="E24" s="35">
        <f t="shared" si="1"/>
        <v>51.025518485121729</v>
      </c>
      <c r="F24" s="50">
        <f t="shared" si="2"/>
        <v>30608</v>
      </c>
      <c r="G24" s="36">
        <f t="shared" si="3"/>
        <v>55.550215629900677</v>
      </c>
    </row>
    <row r="25" spans="1:7" ht="16.8" x14ac:dyDescent="0.4">
      <c r="A25" s="31" t="s">
        <v>1761</v>
      </c>
      <c r="B25" s="32">
        <f>IFERROR(B24/B13,0)</f>
        <v>0.55668590159632125</v>
      </c>
      <c r="C25" s="32">
        <f>IFERROR(C24/C13,0)</f>
        <v>7.0194908495546091E-2</v>
      </c>
      <c r="D25" s="32">
        <f>B25-C25</f>
        <v>0.48649099310077515</v>
      </c>
      <c r="E25" s="32">
        <f>D25</f>
        <v>0.48649099310077515</v>
      </c>
      <c r="F25" s="33">
        <f>C25*0.95</f>
        <v>6.6685163070768785E-2</v>
      </c>
      <c r="G25" s="33">
        <f>B25-F25</f>
        <v>0.49000073852555248</v>
      </c>
    </row>
  </sheetData>
  <mergeCells count="2">
    <mergeCell ref="A2:G2"/>
    <mergeCell ref="A1:G1"/>
  </mergeCells>
  <pageMargins left="0.75" right="0.75" top="1" bottom="1" header="0.5" footer="0.5"/>
  <pageSetup orientation="portrait" r:id="rId1"/>
  <ignoredErrors>
    <ignoredError sqref="B14:C14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D7D714-17D5-4153-A337-A2FF1D309AB4}">
          <x14:formula1>
            <xm:f>Validation_Lists!$B$2:$B$13</xm:f>
          </x14:formula1>
          <xm:sqref>C5</xm:sqref>
        </x14:dataValidation>
        <x14:dataValidation type="list" allowBlank="1" showInputMessage="1" showErrorMessage="1" xr:uid="{13A0A796-1186-4545-BBB4-361908AB4EEA}">
          <x14:formula1>
            <xm:f>Validation_Lists!$C$2:$C$7</xm:f>
          </x14:formula1>
          <xm:sqref>C6</xm:sqref>
        </x14:dataValidation>
        <x14:dataValidation type="list" allowBlank="1" showInputMessage="1" showErrorMessage="1" xr:uid="{4C1BA2E0-62E9-4D49-ACE2-D1739D72C18E}">
          <x14:formula1>
            <xm:f>Validation_Lists!$D$2:$D$5</xm:f>
          </x14:formula1>
          <xm:sqref>C7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showGridLines="0" workbookViewId="0">
      <selection sqref="A1:H1"/>
    </sheetView>
  </sheetViews>
  <sheetFormatPr defaultRowHeight="14.4" x14ac:dyDescent="0.3"/>
  <cols>
    <col min="1" max="1" width="45" customWidth="1"/>
    <col min="2" max="2" width="16" customWidth="1"/>
    <col min="3" max="3" width="22" customWidth="1"/>
    <col min="4" max="4" width="20" customWidth="1"/>
    <col min="5" max="5" width="21" customWidth="1"/>
    <col min="6" max="6" width="19" customWidth="1"/>
    <col min="7" max="8" width="17" customWidth="1"/>
    <col min="9" max="9" width="19" customWidth="1"/>
  </cols>
  <sheetData>
    <row r="1" spans="1:9" ht="31.95" customHeight="1" x14ac:dyDescent="0.3">
      <c r="A1" s="66" t="s">
        <v>1762</v>
      </c>
      <c r="B1" s="65"/>
      <c r="C1" s="65"/>
      <c r="D1" s="65"/>
      <c r="E1" s="65"/>
      <c r="F1" s="65"/>
      <c r="G1" s="65"/>
      <c r="H1" s="65"/>
    </row>
    <row r="2" spans="1:9" x14ac:dyDescent="0.3">
      <c r="A2" s="67" t="s">
        <v>1817</v>
      </c>
      <c r="B2" s="68"/>
      <c r="C2" s="68"/>
      <c r="D2" s="68"/>
      <c r="E2" s="68"/>
      <c r="F2" s="68"/>
      <c r="G2" s="68"/>
      <c r="H2" s="68"/>
    </row>
    <row r="4" spans="1:9" ht="16.8" x14ac:dyDescent="0.4">
      <c r="B4" s="1" t="s">
        <v>1737</v>
      </c>
      <c r="C4" s="5">
        <v>1</v>
      </c>
      <c r="D4" s="1" t="s">
        <v>1763</v>
      </c>
      <c r="E4" s="17" t="str">
        <f>TEXT(DATE(2025,C4,1),"mmmm yyyy")</f>
        <v>January 2025</v>
      </c>
    </row>
    <row r="6" spans="1:9" ht="24" customHeight="1" x14ac:dyDescent="0.3">
      <c r="A6" s="18" t="s">
        <v>38</v>
      </c>
      <c r="B6" s="8" t="s">
        <v>1764</v>
      </c>
      <c r="C6" s="8" t="s">
        <v>1765</v>
      </c>
      <c r="D6" s="8" t="s">
        <v>29</v>
      </c>
      <c r="E6" s="8" t="s">
        <v>1766</v>
      </c>
      <c r="F6" s="8" t="s">
        <v>1767</v>
      </c>
      <c r="G6" s="8" t="s">
        <v>1752</v>
      </c>
      <c r="H6" s="8" t="s">
        <v>1768</v>
      </c>
      <c r="I6" s="8" t="s">
        <v>1769</v>
      </c>
    </row>
    <row r="7" spans="1:9" ht="16.8" x14ac:dyDescent="0.4">
      <c r="A7" s="19" t="s">
        <v>41</v>
      </c>
      <c r="B7" s="51">
        <f>SUMIFS(Raw_Data!$I:$I,Raw_Data!$C:$C,DATE(2025,$C$4,1),Raw_Data!$D:$D,4000,Raw_Data!$G:$G,"Sales")</f>
        <v>1624088</v>
      </c>
      <c r="C7" s="51">
        <f>SUMIFS(Raw_Data!$I:$I,Raw_Data!$C:$C,DATE(2025,$C$4,1),Raw_Data!$D:$D,4100,Raw_Data!$G:$G,"Sales")</f>
        <v>6344</v>
      </c>
      <c r="D7" s="51">
        <f>SUMIFS(Raw_Data!$I:$I,Raw_Data!$C:$C,DATE(2025,$C$4,1),Raw_Data!$D:$D,5000,Raw_Data!$G:$G,"Sales")</f>
        <v>347742</v>
      </c>
      <c r="E7" s="51">
        <f>SUM(SUMIFS(Raw_Data!$I:$I,Raw_Data!$C:$C,DATE(2025,$C$4,1),Raw_Data!$D:$D,{6000,6100,6200,6300,6400},Raw_Data!$G:$G,"Sales"))</f>
        <v>96547</v>
      </c>
      <c r="F7" s="52">
        <f>(B7-C7)-D7-E7</f>
        <v>1173455</v>
      </c>
      <c r="G7" s="20">
        <f t="shared" ref="G7:G12" si="0">IFERROR(((B7-C7)-D7)/(B7-C7),0)</f>
        <v>0.78504509984274395</v>
      </c>
      <c r="H7" s="51">
        <f>SUMIFS(Budget!$D:$D,Budget!$A:$A,DATE(2025,$C$4,1),Budget!$B:$B,4000,Budget!$C:$C,"Sales")</f>
        <v>163278</v>
      </c>
      <c r="I7" s="51">
        <f>B7-H7</f>
        <v>1460810</v>
      </c>
    </row>
    <row r="8" spans="1:9" ht="16.8" x14ac:dyDescent="0.4">
      <c r="A8" s="19" t="s">
        <v>43</v>
      </c>
      <c r="B8" s="51">
        <f>SUMIFS(Raw_Data!$I:$I,Raw_Data!$C:$C,DATE(2025,$C$4,1),Raw_Data!$D:$D,4000,Raw_Data!$G:$G,"Operations")</f>
        <v>389814</v>
      </c>
      <c r="C8" s="51">
        <f>SUMIFS(Raw_Data!$I:$I,Raw_Data!$C:$C,DATE(2025,$C$4,1),Raw_Data!$D:$D,4100,Raw_Data!$G:$G,"Operations")</f>
        <v>0</v>
      </c>
      <c r="D8" s="51">
        <f>SUMIFS(Raw_Data!$I:$I,Raw_Data!$C:$C,DATE(2025,$C$4,1),Raw_Data!$D:$D,5000,Raw_Data!$G:$G,"Operations")</f>
        <v>172315</v>
      </c>
      <c r="E8" s="51">
        <f>SUM(SUMIFS(Raw_Data!$I:$I,Raw_Data!$C:$C,DATE(2025,$C$4,1),Raw_Data!$D:$D,{6000,6100,6200,6300,6400},Raw_Data!$G:$G,"Operations"))</f>
        <v>365377</v>
      </c>
      <c r="F8" s="52">
        <f>(B8-C8)-D8-E8</f>
        <v>-147878</v>
      </c>
      <c r="G8" s="20">
        <f t="shared" si="0"/>
        <v>0.55795584560841838</v>
      </c>
      <c r="H8" s="51">
        <f>SUMIFS(Budget!$D:$D,Budget!$A:$A,DATE(2025,$C$4,1),Budget!$B:$B,4000,Budget!$C:$C,"Operations")</f>
        <v>127148</v>
      </c>
      <c r="I8" s="51">
        <f>B8-H8</f>
        <v>262666</v>
      </c>
    </row>
    <row r="9" spans="1:9" ht="16.8" x14ac:dyDescent="0.4">
      <c r="A9" s="19" t="s">
        <v>45</v>
      </c>
      <c r="B9" s="51">
        <f>SUMIFS(Raw_Data!$I:$I,Raw_Data!$C:$C,DATE(2025,$C$4,1),Raw_Data!$D:$D,4000,Raw_Data!$G:$G,"Marketing")</f>
        <v>660030</v>
      </c>
      <c r="C9" s="51">
        <f>SUMIFS(Raw_Data!$I:$I,Raw_Data!$C:$C,DATE(2025,$C$4,1),Raw_Data!$D:$D,4100,Raw_Data!$G:$G,"Marketing")</f>
        <v>5410</v>
      </c>
      <c r="D9" s="51">
        <f>SUMIFS(Raw_Data!$I:$I,Raw_Data!$C:$C,DATE(2025,$C$4,1),Raw_Data!$D:$D,5000,Raw_Data!$G:$G,"Marketing")</f>
        <v>75253</v>
      </c>
      <c r="E9" s="51">
        <f>SUM(SUMIFS(Raw_Data!$I:$I,Raw_Data!$C:$C,DATE(2025,$C$4,1),Raw_Data!$D:$D,{6000,6100,6200,6300,6400},Raw_Data!$G:$G,"Marketing"))</f>
        <v>135965</v>
      </c>
      <c r="F9" s="52">
        <f>(B9-C9)-D9-E9</f>
        <v>443402</v>
      </c>
      <c r="G9" s="20">
        <f t="shared" si="0"/>
        <v>0.88504323118755923</v>
      </c>
      <c r="H9" s="51">
        <f>SUMIFS(Budget!$D:$D,Budget!$A:$A,DATE(2025,$C$4,1),Budget!$B:$B,4000,Budget!$C:$C,"Marketing")</f>
        <v>96287</v>
      </c>
      <c r="I9" s="51">
        <f>B9-H9</f>
        <v>563743</v>
      </c>
    </row>
    <row r="10" spans="1:9" ht="16.8" x14ac:dyDescent="0.4">
      <c r="A10" s="19" t="s">
        <v>47</v>
      </c>
      <c r="B10" s="51">
        <f>SUMIFS(Raw_Data!$I:$I,Raw_Data!$C:$C,DATE(2025,$C$4,1),Raw_Data!$D:$D,4000,Raw_Data!$G:$G,"Finance")</f>
        <v>181708</v>
      </c>
      <c r="C10" s="51">
        <f>SUMIFS(Raw_Data!$I:$I,Raw_Data!$C:$C,DATE(2025,$C$4,1),Raw_Data!$D:$D,4100,Raw_Data!$G:$G,"Finance")</f>
        <v>4652</v>
      </c>
      <c r="D10" s="51">
        <f>SUMIFS(Raw_Data!$I:$I,Raw_Data!$C:$C,DATE(2025,$C$4,1),Raw_Data!$D:$D,5000,Raw_Data!$G:$G,"Finance")</f>
        <v>37041</v>
      </c>
      <c r="E10" s="51">
        <f>SUM(SUMIFS(Raw_Data!$I:$I,Raw_Data!$C:$C,DATE(2025,$C$4,1),Raw_Data!$D:$D,{6000,6100,6200,6300,6400},Raw_Data!$G:$G,"Finance"))</f>
        <v>93597</v>
      </c>
      <c r="F10" s="52">
        <f>(B10-C10)-D10-E10</f>
        <v>46418</v>
      </c>
      <c r="G10" s="20">
        <f t="shared" si="0"/>
        <v>0.79079500271100667</v>
      </c>
      <c r="H10" s="51">
        <f>SUMIFS(Budget!$D:$D,Budget!$A:$A,DATE(2025,$C$4,1),Budget!$B:$B,4000,Budget!$C:$C,"Finance")</f>
        <v>66596</v>
      </c>
      <c r="I10" s="51">
        <f>B10-H10</f>
        <v>115112</v>
      </c>
    </row>
    <row r="11" spans="1:9" ht="16.8" x14ac:dyDescent="0.4">
      <c r="A11" s="19" t="s">
        <v>48</v>
      </c>
      <c r="B11" s="51">
        <f>SUMIFS(Raw_Data!$I:$I,Raw_Data!$C:$C,DATE(2025,$C$4,1),Raw_Data!$D:$D,4000,Raw_Data!$G:$G,"Human Resources")</f>
        <v>325373</v>
      </c>
      <c r="C11" s="51">
        <f>SUMIFS(Raw_Data!$I:$I,Raw_Data!$C:$C,DATE(2025,$C$4,1),Raw_Data!$D:$D,4100,Raw_Data!$G:$G,"Human Resources")</f>
        <v>9666</v>
      </c>
      <c r="D11" s="51">
        <f>SUMIFS(Raw_Data!$I:$I,Raw_Data!$C:$C,DATE(2025,$C$4,1),Raw_Data!$D:$D,5000,Raw_Data!$G:$G,"Human Resources")</f>
        <v>18317</v>
      </c>
      <c r="E11" s="51">
        <f>SUM(SUMIFS(Raw_Data!$I:$I,Raw_Data!$C:$C,DATE(2025,$C$4,1),Raw_Data!$D:$D,{6000,6100,6200,6300,6400},Raw_Data!$G:$G,"Human Resources"))</f>
        <v>37960</v>
      </c>
      <c r="F11" s="52">
        <f>(B11-C11)-D11-E11</f>
        <v>259430</v>
      </c>
      <c r="G11" s="20">
        <f t="shared" si="0"/>
        <v>0.94198101404150048</v>
      </c>
      <c r="H11" s="51">
        <f>SUMIFS(Budget!$D:$D,Budget!$A:$A,DATE(2025,$C$4,1),Budget!$B:$B,4000,Budget!$C:$C,"Human Resources")</f>
        <v>68517</v>
      </c>
      <c r="I11" s="51">
        <f>B11-H11</f>
        <v>256856</v>
      </c>
    </row>
    <row r="12" spans="1:9" ht="16.8" x14ac:dyDescent="0.4">
      <c r="A12" s="27" t="s">
        <v>1770</v>
      </c>
      <c r="B12" s="53">
        <f>SUM(B7:B11)</f>
        <v>3181013</v>
      </c>
      <c r="C12" s="53">
        <f>SUM(C7:C11)</f>
        <v>26072</v>
      </c>
      <c r="D12" s="53">
        <f>SUM(D7:D11)</f>
        <v>650668</v>
      </c>
      <c r="E12" s="53">
        <f>SUM(E7:E11)</f>
        <v>729446</v>
      </c>
      <c r="F12" s="53">
        <f>SUM(F7:F11)</f>
        <v>1774827</v>
      </c>
      <c r="G12" s="28">
        <f t="shared" si="0"/>
        <v>0.79376222883407332</v>
      </c>
      <c r="H12" s="53">
        <f>SUM(H7:H11)</f>
        <v>521826</v>
      </c>
      <c r="I12" s="53">
        <f>SUM(I7:I11)</f>
        <v>2659187</v>
      </c>
    </row>
  </sheetData>
  <mergeCells count="2">
    <mergeCell ref="A2:H2"/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825E87-8F08-4608-9448-1C200C19D3C8}">
          <x14:formula1>
            <xm:f>Validation_Lists!$B$2:$B$13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C758-3EE3-4B03-895B-9A0EE03C007E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selection sqref="A1:D1"/>
    </sheetView>
  </sheetViews>
  <sheetFormatPr defaultRowHeight="14.4" x14ac:dyDescent="0.3"/>
  <cols>
    <col min="1" max="1" width="15" customWidth="1"/>
    <col min="2" max="2" width="28" customWidth="1"/>
    <col min="3" max="3" width="20" customWidth="1"/>
    <col min="4" max="4" width="19" customWidth="1"/>
  </cols>
  <sheetData>
    <row r="1" spans="1:4" x14ac:dyDescent="0.3">
      <c r="A1" s="69" t="s">
        <v>19</v>
      </c>
      <c r="B1" s="69" t="s">
        <v>20</v>
      </c>
      <c r="C1" s="69" t="s">
        <v>21</v>
      </c>
      <c r="D1" s="69" t="s">
        <v>22</v>
      </c>
    </row>
    <row r="2" spans="1:4" x14ac:dyDescent="0.3">
      <c r="A2">
        <v>4000</v>
      </c>
      <c r="B2" t="s">
        <v>23</v>
      </c>
      <c r="C2" t="s">
        <v>24</v>
      </c>
      <c r="D2" t="s">
        <v>25</v>
      </c>
    </row>
    <row r="3" spans="1:4" x14ac:dyDescent="0.3">
      <c r="A3">
        <v>4100</v>
      </c>
      <c r="B3" t="s">
        <v>26</v>
      </c>
      <c r="C3" t="s">
        <v>27</v>
      </c>
      <c r="D3" t="s">
        <v>25</v>
      </c>
    </row>
    <row r="4" spans="1:4" x14ac:dyDescent="0.3">
      <c r="A4">
        <v>5000</v>
      </c>
      <c r="B4" t="s">
        <v>28</v>
      </c>
      <c r="C4" t="s">
        <v>29</v>
      </c>
      <c r="D4" t="s">
        <v>25</v>
      </c>
    </row>
    <row r="5" spans="1:4" x14ac:dyDescent="0.3">
      <c r="A5">
        <v>6000</v>
      </c>
      <c r="B5" t="s">
        <v>30</v>
      </c>
      <c r="C5" t="s">
        <v>31</v>
      </c>
      <c r="D5" t="s">
        <v>25</v>
      </c>
    </row>
    <row r="6" spans="1:4" x14ac:dyDescent="0.3">
      <c r="A6">
        <v>6100</v>
      </c>
      <c r="B6" t="s">
        <v>32</v>
      </c>
      <c r="C6" t="s">
        <v>31</v>
      </c>
      <c r="D6" t="s">
        <v>25</v>
      </c>
    </row>
    <row r="7" spans="1:4" x14ac:dyDescent="0.3">
      <c r="A7">
        <v>6200</v>
      </c>
      <c r="B7" t="s">
        <v>33</v>
      </c>
      <c r="C7" t="s">
        <v>31</v>
      </c>
      <c r="D7" t="s">
        <v>25</v>
      </c>
    </row>
    <row r="8" spans="1:4" x14ac:dyDescent="0.3">
      <c r="A8">
        <v>6300</v>
      </c>
      <c r="B8" t="s">
        <v>34</v>
      </c>
      <c r="C8" t="s">
        <v>31</v>
      </c>
      <c r="D8" t="s">
        <v>25</v>
      </c>
    </row>
    <row r="9" spans="1:4" x14ac:dyDescent="0.3">
      <c r="A9">
        <v>6400</v>
      </c>
      <c r="B9" t="s">
        <v>35</v>
      </c>
      <c r="C9" t="s">
        <v>31</v>
      </c>
      <c r="D9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selection sqref="A1:D1"/>
    </sheetView>
  </sheetViews>
  <sheetFormatPr defaultRowHeight="14.4" x14ac:dyDescent="0.3"/>
  <cols>
    <col min="1" max="2" width="12" customWidth="1"/>
    <col min="3" max="3" width="18" customWidth="1"/>
    <col min="4" max="4" width="12" customWidth="1"/>
  </cols>
  <sheetData>
    <row r="1" spans="1:4" x14ac:dyDescent="0.3">
      <c r="A1" s="69" t="s">
        <v>36</v>
      </c>
      <c r="B1" s="69" t="s">
        <v>37</v>
      </c>
      <c r="C1" s="69" t="s">
        <v>38</v>
      </c>
      <c r="D1" s="69" t="s">
        <v>39</v>
      </c>
    </row>
    <row r="2" spans="1:4" x14ac:dyDescent="0.3">
      <c r="A2">
        <v>2025</v>
      </c>
      <c r="B2">
        <v>1</v>
      </c>
      <c r="C2" t="s">
        <v>40</v>
      </c>
      <c r="D2" t="s">
        <v>40</v>
      </c>
    </row>
    <row r="3" spans="1:4" x14ac:dyDescent="0.3">
      <c r="B3">
        <v>2</v>
      </c>
      <c r="C3" t="s">
        <v>41</v>
      </c>
      <c r="D3" t="s">
        <v>42</v>
      </c>
    </row>
    <row r="4" spans="1:4" x14ac:dyDescent="0.3">
      <c r="B4">
        <v>3</v>
      </c>
      <c r="C4" t="s">
        <v>43</v>
      </c>
      <c r="D4" t="s">
        <v>44</v>
      </c>
    </row>
    <row r="5" spans="1:4" x14ac:dyDescent="0.3">
      <c r="B5">
        <v>4</v>
      </c>
      <c r="C5" t="s">
        <v>45</v>
      </c>
      <c r="D5" t="s">
        <v>46</v>
      </c>
    </row>
    <row r="6" spans="1:4" x14ac:dyDescent="0.3">
      <c r="B6">
        <v>5</v>
      </c>
      <c r="C6" t="s">
        <v>47</v>
      </c>
    </row>
    <row r="7" spans="1:4" x14ac:dyDescent="0.3">
      <c r="B7">
        <v>6</v>
      </c>
      <c r="C7" t="s">
        <v>48</v>
      </c>
    </row>
    <row r="8" spans="1:4" x14ac:dyDescent="0.3">
      <c r="B8">
        <v>7</v>
      </c>
    </row>
    <row r="9" spans="1:4" x14ac:dyDescent="0.3">
      <c r="B9">
        <v>8</v>
      </c>
    </row>
    <row r="10" spans="1:4" x14ac:dyDescent="0.3">
      <c r="B10">
        <v>9</v>
      </c>
    </row>
    <row r="11" spans="1:4" x14ac:dyDescent="0.3">
      <c r="B11">
        <v>10</v>
      </c>
    </row>
    <row r="12" spans="1:4" x14ac:dyDescent="0.3">
      <c r="B12">
        <v>11</v>
      </c>
    </row>
    <row r="13" spans="1:4" x14ac:dyDescent="0.3">
      <c r="B13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21"/>
  <sheetViews>
    <sheetView showGridLines="0" workbookViewId="0">
      <selection activeCell="I1" sqref="A1:I1"/>
    </sheetView>
  </sheetViews>
  <sheetFormatPr defaultRowHeight="14.4" x14ac:dyDescent="0.3"/>
  <cols>
    <col min="1" max="1" width="17" customWidth="1"/>
    <col min="2" max="2" width="13" customWidth="1"/>
    <col min="3" max="3" width="14" customWidth="1"/>
    <col min="4" max="5" width="15" customWidth="1"/>
    <col min="6" max="6" width="13" customWidth="1"/>
    <col min="7" max="7" width="18" customWidth="1"/>
    <col min="8" max="8" width="12" customWidth="1"/>
    <col min="9" max="9" width="16" customWidth="1"/>
  </cols>
  <sheetData>
    <row r="1" spans="1:9" x14ac:dyDescent="0.3">
      <c r="A1" s="69" t="s">
        <v>49</v>
      </c>
      <c r="B1" s="69" t="s">
        <v>50</v>
      </c>
      <c r="C1" s="69" t="s">
        <v>51</v>
      </c>
      <c r="D1" s="69" t="s">
        <v>19</v>
      </c>
      <c r="E1" s="69" t="s">
        <v>20</v>
      </c>
      <c r="F1" s="69" t="s">
        <v>21</v>
      </c>
      <c r="G1" s="69" t="s">
        <v>38</v>
      </c>
      <c r="H1" s="69" t="s">
        <v>39</v>
      </c>
      <c r="I1" s="69" t="s">
        <v>52</v>
      </c>
    </row>
    <row r="2" spans="1:9" x14ac:dyDescent="0.3">
      <c r="A2" t="s">
        <v>53</v>
      </c>
      <c r="B2" t="s">
        <v>54</v>
      </c>
      <c r="C2">
        <f t="shared" ref="C2:C65" si="0">DATE(YEAR(B2),MONTH(B2),1)</f>
        <v>45658</v>
      </c>
      <c r="D2">
        <v>6000</v>
      </c>
      <c r="E2" t="str">
        <f>INDEX(Accounts!$B$2:$B$9,MATCH(D2,Accounts!$A$2:$A$9,0))</f>
        <v>Salaries &amp; Wages</v>
      </c>
      <c r="F2" t="str">
        <f>INDEX(Accounts!$C$2:$C$9,MATCH(D2,Accounts!$A$2:$A$9,0))</f>
        <v>Operating Expense</v>
      </c>
      <c r="G2" t="s">
        <v>43</v>
      </c>
      <c r="H2" t="s">
        <v>42</v>
      </c>
      <c r="I2">
        <v>16894</v>
      </c>
    </row>
    <row r="3" spans="1:9" x14ac:dyDescent="0.3">
      <c r="A3" t="s">
        <v>55</v>
      </c>
      <c r="B3" t="s">
        <v>54</v>
      </c>
      <c r="C3">
        <f t="shared" si="0"/>
        <v>45658</v>
      </c>
      <c r="D3">
        <v>6000</v>
      </c>
      <c r="E3" t="str">
        <f>INDEX(Accounts!$B$2:$B$9,MATCH(D3,Accounts!$A$2:$A$9,0))</f>
        <v>Salaries &amp; Wages</v>
      </c>
      <c r="F3" t="str">
        <f>INDEX(Accounts!$C$2:$C$9,MATCH(D3,Accounts!$A$2:$A$9,0))</f>
        <v>Operating Expense</v>
      </c>
      <c r="G3" t="s">
        <v>43</v>
      </c>
      <c r="H3" t="s">
        <v>46</v>
      </c>
      <c r="I3">
        <v>8394</v>
      </c>
    </row>
    <row r="4" spans="1:9" x14ac:dyDescent="0.3">
      <c r="A4" t="s">
        <v>56</v>
      </c>
      <c r="B4" t="s">
        <v>54</v>
      </c>
      <c r="C4">
        <f t="shared" si="0"/>
        <v>45658</v>
      </c>
      <c r="D4">
        <v>6000</v>
      </c>
      <c r="E4" t="str">
        <f>INDEX(Accounts!$B$2:$B$9,MATCH(D4,Accounts!$A$2:$A$9,0))</f>
        <v>Salaries &amp; Wages</v>
      </c>
      <c r="F4" t="str">
        <f>INDEX(Accounts!$C$2:$C$9,MATCH(D4,Accounts!$A$2:$A$9,0))</f>
        <v>Operating Expense</v>
      </c>
      <c r="G4" t="s">
        <v>43</v>
      </c>
      <c r="H4" t="s">
        <v>44</v>
      </c>
      <c r="I4">
        <v>33323</v>
      </c>
    </row>
    <row r="5" spans="1:9" x14ac:dyDescent="0.3">
      <c r="A5" t="s">
        <v>57</v>
      </c>
      <c r="B5" t="s">
        <v>58</v>
      </c>
      <c r="C5">
        <f t="shared" si="0"/>
        <v>45658</v>
      </c>
      <c r="D5">
        <v>6000</v>
      </c>
      <c r="E5" t="str">
        <f>INDEX(Accounts!$B$2:$B$9,MATCH(D5,Accounts!$A$2:$A$9,0))</f>
        <v>Salaries &amp; Wages</v>
      </c>
      <c r="F5" t="str">
        <f>INDEX(Accounts!$C$2:$C$9,MATCH(D5,Accounts!$A$2:$A$9,0))</f>
        <v>Operating Expense</v>
      </c>
      <c r="G5" t="s">
        <v>45</v>
      </c>
      <c r="H5" t="s">
        <v>42</v>
      </c>
      <c r="I5">
        <v>33027</v>
      </c>
    </row>
    <row r="6" spans="1:9" x14ac:dyDescent="0.3">
      <c r="A6" t="s">
        <v>59</v>
      </c>
      <c r="B6" t="s">
        <v>58</v>
      </c>
      <c r="C6">
        <f t="shared" si="0"/>
        <v>45658</v>
      </c>
      <c r="D6">
        <v>5000</v>
      </c>
      <c r="E6" t="str">
        <f>INDEX(Accounts!$B$2:$B$9,MATCH(D6,Accounts!$A$2:$A$9,0))</f>
        <v>Cost of Goods Sold</v>
      </c>
      <c r="F6" t="str">
        <f>INDEX(Accounts!$C$2:$C$9,MATCH(D6,Accounts!$A$2:$A$9,0))</f>
        <v>COGS</v>
      </c>
      <c r="G6" t="s">
        <v>43</v>
      </c>
      <c r="H6" t="s">
        <v>42</v>
      </c>
      <c r="I6">
        <v>24295</v>
      </c>
    </row>
    <row r="7" spans="1:9" x14ac:dyDescent="0.3">
      <c r="A7" t="s">
        <v>60</v>
      </c>
      <c r="B7" t="s">
        <v>58</v>
      </c>
      <c r="C7">
        <f t="shared" si="0"/>
        <v>45658</v>
      </c>
      <c r="D7">
        <v>4000</v>
      </c>
      <c r="E7" t="str">
        <f>INDEX(Accounts!$B$2:$B$9,MATCH(D7,Accounts!$A$2:$A$9,0))</f>
        <v>Product Sales</v>
      </c>
      <c r="F7" t="str">
        <f>INDEX(Accounts!$C$2:$C$9,MATCH(D7,Accounts!$A$2:$A$9,0))</f>
        <v>Revenue</v>
      </c>
      <c r="G7" t="s">
        <v>41</v>
      </c>
      <c r="H7" t="s">
        <v>44</v>
      </c>
      <c r="I7">
        <v>94521</v>
      </c>
    </row>
    <row r="8" spans="1:9" x14ac:dyDescent="0.3">
      <c r="A8" t="s">
        <v>61</v>
      </c>
      <c r="B8" t="s">
        <v>58</v>
      </c>
      <c r="C8">
        <f t="shared" si="0"/>
        <v>45658</v>
      </c>
      <c r="D8">
        <v>6400</v>
      </c>
      <c r="E8" t="str">
        <f>INDEX(Accounts!$B$2:$B$9,MATCH(D8,Accounts!$A$2:$A$9,0))</f>
        <v>Software &amp; Admin</v>
      </c>
      <c r="F8" t="str">
        <f>INDEX(Accounts!$C$2:$C$9,MATCH(D8,Accounts!$A$2:$A$9,0))</f>
        <v>Operating Expense</v>
      </c>
      <c r="G8" t="s">
        <v>41</v>
      </c>
      <c r="H8" t="s">
        <v>42</v>
      </c>
      <c r="I8">
        <v>2122</v>
      </c>
    </row>
    <row r="9" spans="1:9" x14ac:dyDescent="0.3">
      <c r="A9" t="s">
        <v>62</v>
      </c>
      <c r="B9" t="s">
        <v>58</v>
      </c>
      <c r="C9">
        <f t="shared" si="0"/>
        <v>45658</v>
      </c>
      <c r="D9">
        <v>4000</v>
      </c>
      <c r="E9" t="str">
        <f>INDEX(Accounts!$B$2:$B$9,MATCH(D9,Accounts!$A$2:$A$9,0))</f>
        <v>Product Sales</v>
      </c>
      <c r="F9" t="str">
        <f>INDEX(Accounts!$C$2:$C$9,MATCH(D9,Accounts!$A$2:$A$9,0))</f>
        <v>Revenue</v>
      </c>
      <c r="G9" t="s">
        <v>43</v>
      </c>
      <c r="H9" t="s">
        <v>46</v>
      </c>
      <c r="I9">
        <v>107228</v>
      </c>
    </row>
    <row r="10" spans="1:9" x14ac:dyDescent="0.3">
      <c r="A10" t="s">
        <v>63</v>
      </c>
      <c r="B10" t="s">
        <v>64</v>
      </c>
      <c r="C10">
        <f t="shared" si="0"/>
        <v>45658</v>
      </c>
      <c r="D10">
        <v>5000</v>
      </c>
      <c r="E10" t="str">
        <f>INDEX(Accounts!$B$2:$B$9,MATCH(D10,Accounts!$A$2:$A$9,0))</f>
        <v>Cost of Goods Sold</v>
      </c>
      <c r="F10" t="str">
        <f>INDEX(Accounts!$C$2:$C$9,MATCH(D10,Accounts!$A$2:$A$9,0))</f>
        <v>COGS</v>
      </c>
      <c r="G10" t="s">
        <v>43</v>
      </c>
      <c r="H10" t="s">
        <v>44</v>
      </c>
      <c r="I10">
        <v>47565</v>
      </c>
    </row>
    <row r="11" spans="1:9" x14ac:dyDescent="0.3">
      <c r="A11" t="s">
        <v>65</v>
      </c>
      <c r="B11" t="s">
        <v>64</v>
      </c>
      <c r="C11">
        <f t="shared" si="0"/>
        <v>45658</v>
      </c>
      <c r="D11">
        <v>6100</v>
      </c>
      <c r="E11" t="str">
        <f>INDEX(Accounts!$B$2:$B$9,MATCH(D11,Accounts!$A$2:$A$9,0))</f>
        <v>Marketing Expense</v>
      </c>
      <c r="F11" t="str">
        <f>INDEX(Accounts!$C$2:$C$9,MATCH(D11,Accounts!$A$2:$A$9,0))</f>
        <v>Operating Expense</v>
      </c>
      <c r="G11" t="s">
        <v>47</v>
      </c>
      <c r="H11" t="s">
        <v>42</v>
      </c>
      <c r="I11">
        <v>12280</v>
      </c>
    </row>
    <row r="12" spans="1:9" x14ac:dyDescent="0.3">
      <c r="A12" t="s">
        <v>66</v>
      </c>
      <c r="B12" t="s">
        <v>64</v>
      </c>
      <c r="C12">
        <f t="shared" si="0"/>
        <v>45658</v>
      </c>
      <c r="D12">
        <v>6400</v>
      </c>
      <c r="E12" t="str">
        <f>INDEX(Accounts!$B$2:$B$9,MATCH(D12,Accounts!$A$2:$A$9,0))</f>
        <v>Software &amp; Admin</v>
      </c>
      <c r="F12" t="str">
        <f>INDEX(Accounts!$C$2:$C$9,MATCH(D12,Accounts!$A$2:$A$9,0))</f>
        <v>Operating Expense</v>
      </c>
      <c r="G12" t="s">
        <v>41</v>
      </c>
      <c r="H12" t="s">
        <v>46</v>
      </c>
      <c r="I12">
        <v>9346</v>
      </c>
    </row>
    <row r="13" spans="1:9" x14ac:dyDescent="0.3">
      <c r="A13" t="s">
        <v>67</v>
      </c>
      <c r="B13" t="s">
        <v>68</v>
      </c>
      <c r="C13">
        <f t="shared" si="0"/>
        <v>45658</v>
      </c>
      <c r="D13">
        <v>4000</v>
      </c>
      <c r="E13" t="str">
        <f>INDEX(Accounts!$B$2:$B$9,MATCH(D13,Accounts!$A$2:$A$9,0))</f>
        <v>Product Sales</v>
      </c>
      <c r="F13" t="str">
        <f>INDEX(Accounts!$C$2:$C$9,MATCH(D13,Accounts!$A$2:$A$9,0))</f>
        <v>Revenue</v>
      </c>
      <c r="G13" t="s">
        <v>41</v>
      </c>
      <c r="H13" t="s">
        <v>42</v>
      </c>
      <c r="I13">
        <v>179221</v>
      </c>
    </row>
    <row r="14" spans="1:9" x14ac:dyDescent="0.3">
      <c r="A14" t="s">
        <v>69</v>
      </c>
      <c r="B14" t="s">
        <v>68</v>
      </c>
      <c r="C14">
        <f t="shared" si="0"/>
        <v>45658</v>
      </c>
      <c r="D14">
        <v>6000</v>
      </c>
      <c r="E14" t="str">
        <f>INDEX(Accounts!$B$2:$B$9,MATCH(D14,Accounts!$A$2:$A$9,0))</f>
        <v>Salaries &amp; Wages</v>
      </c>
      <c r="F14" t="str">
        <f>INDEX(Accounts!$C$2:$C$9,MATCH(D14,Accounts!$A$2:$A$9,0))</f>
        <v>Operating Expense</v>
      </c>
      <c r="G14" t="s">
        <v>43</v>
      </c>
      <c r="H14" t="s">
        <v>44</v>
      </c>
      <c r="I14">
        <v>20303</v>
      </c>
    </row>
    <row r="15" spans="1:9" x14ac:dyDescent="0.3">
      <c r="A15" t="s">
        <v>70</v>
      </c>
      <c r="B15" t="s">
        <v>68</v>
      </c>
      <c r="C15">
        <f t="shared" si="0"/>
        <v>45658</v>
      </c>
      <c r="D15">
        <v>6300</v>
      </c>
      <c r="E15" t="str">
        <f>INDEX(Accounts!$B$2:$B$9,MATCH(D15,Accounts!$A$2:$A$9,0))</f>
        <v>Logistics Expense</v>
      </c>
      <c r="F15" t="str">
        <f>INDEX(Accounts!$C$2:$C$9,MATCH(D15,Accounts!$A$2:$A$9,0))</f>
        <v>Operating Expense</v>
      </c>
      <c r="G15" t="s">
        <v>41</v>
      </c>
      <c r="H15" t="s">
        <v>46</v>
      </c>
      <c r="I15">
        <v>5849</v>
      </c>
    </row>
    <row r="16" spans="1:9" x14ac:dyDescent="0.3">
      <c r="A16" t="s">
        <v>71</v>
      </c>
      <c r="B16" t="s">
        <v>72</v>
      </c>
      <c r="C16">
        <f t="shared" si="0"/>
        <v>45658</v>
      </c>
      <c r="D16">
        <v>6100</v>
      </c>
      <c r="E16" t="str">
        <f>INDEX(Accounts!$B$2:$B$9,MATCH(D16,Accounts!$A$2:$A$9,0))</f>
        <v>Marketing Expense</v>
      </c>
      <c r="F16" t="str">
        <f>INDEX(Accounts!$C$2:$C$9,MATCH(D16,Accounts!$A$2:$A$9,0))</f>
        <v>Operating Expense</v>
      </c>
      <c r="G16" t="s">
        <v>45</v>
      </c>
      <c r="H16" t="s">
        <v>46</v>
      </c>
      <c r="I16">
        <v>3424</v>
      </c>
    </row>
    <row r="17" spans="1:9" x14ac:dyDescent="0.3">
      <c r="A17" t="s">
        <v>73</v>
      </c>
      <c r="B17" t="s">
        <v>72</v>
      </c>
      <c r="C17">
        <f t="shared" si="0"/>
        <v>45658</v>
      </c>
      <c r="D17">
        <v>4000</v>
      </c>
      <c r="E17" t="str">
        <f>INDEX(Accounts!$B$2:$B$9,MATCH(D17,Accounts!$A$2:$A$9,0))</f>
        <v>Product Sales</v>
      </c>
      <c r="F17" t="str">
        <f>INDEX(Accounts!$C$2:$C$9,MATCH(D17,Accounts!$A$2:$A$9,0))</f>
        <v>Revenue</v>
      </c>
      <c r="G17" t="s">
        <v>41</v>
      </c>
      <c r="H17" t="s">
        <v>46</v>
      </c>
      <c r="I17">
        <v>166289</v>
      </c>
    </row>
    <row r="18" spans="1:9" x14ac:dyDescent="0.3">
      <c r="A18" t="s">
        <v>74</v>
      </c>
      <c r="B18" t="s">
        <v>72</v>
      </c>
      <c r="C18">
        <f t="shared" si="0"/>
        <v>45658</v>
      </c>
      <c r="D18">
        <v>5000</v>
      </c>
      <c r="E18" t="str">
        <f>INDEX(Accounts!$B$2:$B$9,MATCH(D18,Accounts!$A$2:$A$9,0))</f>
        <v>Cost of Goods Sold</v>
      </c>
      <c r="F18" t="str">
        <f>INDEX(Accounts!$C$2:$C$9,MATCH(D18,Accounts!$A$2:$A$9,0))</f>
        <v>COGS</v>
      </c>
      <c r="G18" t="s">
        <v>41</v>
      </c>
      <c r="H18" t="s">
        <v>46</v>
      </c>
      <c r="I18">
        <v>68194</v>
      </c>
    </row>
    <row r="19" spans="1:9" x14ac:dyDescent="0.3">
      <c r="A19" t="s">
        <v>75</v>
      </c>
      <c r="B19" t="s">
        <v>72</v>
      </c>
      <c r="C19">
        <f t="shared" si="0"/>
        <v>45658</v>
      </c>
      <c r="D19">
        <v>6000</v>
      </c>
      <c r="E19" t="str">
        <f>INDEX(Accounts!$B$2:$B$9,MATCH(D19,Accounts!$A$2:$A$9,0))</f>
        <v>Salaries &amp; Wages</v>
      </c>
      <c r="F19" t="str">
        <f>INDEX(Accounts!$C$2:$C$9,MATCH(D19,Accounts!$A$2:$A$9,0))</f>
        <v>Operating Expense</v>
      </c>
      <c r="G19" t="s">
        <v>48</v>
      </c>
      <c r="H19" t="s">
        <v>42</v>
      </c>
      <c r="I19">
        <v>13685</v>
      </c>
    </row>
    <row r="20" spans="1:9" x14ac:dyDescent="0.3">
      <c r="A20" t="s">
        <v>76</v>
      </c>
      <c r="B20" t="s">
        <v>72</v>
      </c>
      <c r="C20">
        <f t="shared" si="0"/>
        <v>45658</v>
      </c>
      <c r="D20">
        <v>6100</v>
      </c>
      <c r="E20" t="str">
        <f>INDEX(Accounts!$B$2:$B$9,MATCH(D20,Accounts!$A$2:$A$9,0))</f>
        <v>Marketing Expense</v>
      </c>
      <c r="F20" t="str">
        <f>INDEX(Accounts!$C$2:$C$9,MATCH(D20,Accounts!$A$2:$A$9,0))</f>
        <v>Operating Expense</v>
      </c>
      <c r="G20" t="s">
        <v>47</v>
      </c>
      <c r="H20" t="s">
        <v>46</v>
      </c>
      <c r="I20">
        <v>9744</v>
      </c>
    </row>
    <row r="21" spans="1:9" x14ac:dyDescent="0.3">
      <c r="A21" t="s">
        <v>77</v>
      </c>
      <c r="B21" t="s">
        <v>72</v>
      </c>
      <c r="C21">
        <f t="shared" si="0"/>
        <v>45658</v>
      </c>
      <c r="D21">
        <v>6300</v>
      </c>
      <c r="E21" t="str">
        <f>INDEX(Accounts!$B$2:$B$9,MATCH(D21,Accounts!$A$2:$A$9,0))</f>
        <v>Logistics Expense</v>
      </c>
      <c r="F21" t="str">
        <f>INDEX(Accounts!$C$2:$C$9,MATCH(D21,Accounts!$A$2:$A$9,0))</f>
        <v>Operating Expense</v>
      </c>
      <c r="G21" t="s">
        <v>41</v>
      </c>
      <c r="H21" t="s">
        <v>42</v>
      </c>
      <c r="I21">
        <v>4400</v>
      </c>
    </row>
    <row r="22" spans="1:9" x14ac:dyDescent="0.3">
      <c r="A22" t="s">
        <v>78</v>
      </c>
      <c r="B22" t="s">
        <v>79</v>
      </c>
      <c r="C22">
        <f t="shared" si="0"/>
        <v>45658</v>
      </c>
      <c r="D22">
        <v>6200</v>
      </c>
      <c r="E22" t="str">
        <f>INDEX(Accounts!$B$2:$B$9,MATCH(D22,Accounts!$A$2:$A$9,0))</f>
        <v>Rent &amp; Utilities</v>
      </c>
      <c r="F22" t="str">
        <f>INDEX(Accounts!$C$2:$C$9,MATCH(D22,Accounts!$A$2:$A$9,0))</f>
        <v>Operating Expense</v>
      </c>
      <c r="G22" t="s">
        <v>43</v>
      </c>
      <c r="H22" t="s">
        <v>42</v>
      </c>
      <c r="I22">
        <v>9304</v>
      </c>
    </row>
    <row r="23" spans="1:9" x14ac:dyDescent="0.3">
      <c r="A23" t="s">
        <v>80</v>
      </c>
      <c r="B23" t="s">
        <v>81</v>
      </c>
      <c r="C23">
        <f t="shared" si="0"/>
        <v>45658</v>
      </c>
      <c r="D23">
        <v>6300</v>
      </c>
      <c r="E23" t="str">
        <f>INDEX(Accounts!$B$2:$B$9,MATCH(D23,Accounts!$A$2:$A$9,0))</f>
        <v>Logistics Expense</v>
      </c>
      <c r="F23" t="str">
        <f>INDEX(Accounts!$C$2:$C$9,MATCH(D23,Accounts!$A$2:$A$9,0))</f>
        <v>Operating Expense</v>
      </c>
      <c r="G23" t="s">
        <v>43</v>
      </c>
      <c r="H23" t="s">
        <v>46</v>
      </c>
      <c r="I23">
        <v>6655</v>
      </c>
    </row>
    <row r="24" spans="1:9" x14ac:dyDescent="0.3">
      <c r="A24" t="s">
        <v>82</v>
      </c>
      <c r="B24" t="s">
        <v>81</v>
      </c>
      <c r="C24">
        <f t="shared" si="0"/>
        <v>45658</v>
      </c>
      <c r="D24">
        <v>6000</v>
      </c>
      <c r="E24" t="str">
        <f>INDEX(Accounts!$B$2:$B$9,MATCH(D24,Accounts!$A$2:$A$9,0))</f>
        <v>Salaries &amp; Wages</v>
      </c>
      <c r="F24" t="str">
        <f>INDEX(Accounts!$C$2:$C$9,MATCH(D24,Accounts!$A$2:$A$9,0))</f>
        <v>Operating Expense</v>
      </c>
      <c r="G24" t="s">
        <v>43</v>
      </c>
      <c r="H24" t="s">
        <v>46</v>
      </c>
      <c r="I24">
        <v>20035</v>
      </c>
    </row>
    <row r="25" spans="1:9" x14ac:dyDescent="0.3">
      <c r="A25" t="s">
        <v>83</v>
      </c>
      <c r="B25" t="s">
        <v>81</v>
      </c>
      <c r="C25">
        <f t="shared" si="0"/>
        <v>45658</v>
      </c>
      <c r="D25">
        <v>4000</v>
      </c>
      <c r="E25" t="str">
        <f>INDEX(Accounts!$B$2:$B$9,MATCH(D25,Accounts!$A$2:$A$9,0))</f>
        <v>Product Sales</v>
      </c>
      <c r="F25" t="str">
        <f>INDEX(Accounts!$C$2:$C$9,MATCH(D25,Accounts!$A$2:$A$9,0))</f>
        <v>Revenue</v>
      </c>
      <c r="G25" t="s">
        <v>43</v>
      </c>
      <c r="H25" t="s">
        <v>44</v>
      </c>
      <c r="I25">
        <v>73100</v>
      </c>
    </row>
    <row r="26" spans="1:9" x14ac:dyDescent="0.3">
      <c r="A26" t="s">
        <v>84</v>
      </c>
      <c r="B26" t="s">
        <v>81</v>
      </c>
      <c r="C26">
        <f t="shared" si="0"/>
        <v>45658</v>
      </c>
      <c r="D26">
        <v>6000</v>
      </c>
      <c r="E26" t="str">
        <f>INDEX(Accounts!$B$2:$B$9,MATCH(D26,Accounts!$A$2:$A$9,0))</f>
        <v>Salaries &amp; Wages</v>
      </c>
      <c r="F26" t="str">
        <f>INDEX(Accounts!$C$2:$C$9,MATCH(D26,Accounts!$A$2:$A$9,0))</f>
        <v>Operating Expense</v>
      </c>
      <c r="G26" t="s">
        <v>47</v>
      </c>
      <c r="H26" t="s">
        <v>46</v>
      </c>
      <c r="I26">
        <v>21008</v>
      </c>
    </row>
    <row r="27" spans="1:9" x14ac:dyDescent="0.3">
      <c r="A27" t="s">
        <v>85</v>
      </c>
      <c r="B27" t="s">
        <v>81</v>
      </c>
      <c r="C27">
        <f t="shared" si="0"/>
        <v>45658</v>
      </c>
      <c r="D27">
        <v>6000</v>
      </c>
      <c r="E27" t="str">
        <f>INDEX(Accounts!$B$2:$B$9,MATCH(D27,Accounts!$A$2:$A$9,0))</f>
        <v>Salaries &amp; Wages</v>
      </c>
      <c r="F27" t="str">
        <f>INDEX(Accounts!$C$2:$C$9,MATCH(D27,Accounts!$A$2:$A$9,0))</f>
        <v>Operating Expense</v>
      </c>
      <c r="G27" t="s">
        <v>45</v>
      </c>
      <c r="H27" t="s">
        <v>44</v>
      </c>
      <c r="I27">
        <v>30562</v>
      </c>
    </row>
    <row r="28" spans="1:9" x14ac:dyDescent="0.3">
      <c r="A28" t="s">
        <v>86</v>
      </c>
      <c r="B28" t="s">
        <v>87</v>
      </c>
      <c r="C28">
        <f t="shared" si="0"/>
        <v>45658</v>
      </c>
      <c r="D28">
        <v>6300</v>
      </c>
      <c r="E28" t="str">
        <f>INDEX(Accounts!$B$2:$B$9,MATCH(D28,Accounts!$A$2:$A$9,0))</f>
        <v>Logistics Expense</v>
      </c>
      <c r="F28" t="str">
        <f>INDEX(Accounts!$C$2:$C$9,MATCH(D28,Accounts!$A$2:$A$9,0))</f>
        <v>Operating Expense</v>
      </c>
      <c r="G28" t="s">
        <v>43</v>
      </c>
      <c r="H28" t="s">
        <v>44</v>
      </c>
      <c r="I28">
        <v>11915</v>
      </c>
    </row>
    <row r="29" spans="1:9" x14ac:dyDescent="0.3">
      <c r="A29" t="s">
        <v>88</v>
      </c>
      <c r="B29" t="s">
        <v>87</v>
      </c>
      <c r="C29">
        <f t="shared" si="0"/>
        <v>45658</v>
      </c>
      <c r="D29">
        <v>6000</v>
      </c>
      <c r="E29" t="str">
        <f>INDEX(Accounts!$B$2:$B$9,MATCH(D29,Accounts!$A$2:$A$9,0))</f>
        <v>Salaries &amp; Wages</v>
      </c>
      <c r="F29" t="str">
        <f>INDEX(Accounts!$C$2:$C$9,MATCH(D29,Accounts!$A$2:$A$9,0))</f>
        <v>Operating Expense</v>
      </c>
      <c r="G29" t="s">
        <v>47</v>
      </c>
      <c r="H29" t="s">
        <v>42</v>
      </c>
      <c r="I29">
        <v>12505</v>
      </c>
    </row>
    <row r="30" spans="1:9" x14ac:dyDescent="0.3">
      <c r="A30" t="s">
        <v>89</v>
      </c>
      <c r="B30" t="s">
        <v>87</v>
      </c>
      <c r="C30">
        <f t="shared" si="0"/>
        <v>45658</v>
      </c>
      <c r="D30">
        <v>6300</v>
      </c>
      <c r="E30" t="str">
        <f>INDEX(Accounts!$B$2:$B$9,MATCH(D30,Accounts!$A$2:$A$9,0))</f>
        <v>Logistics Expense</v>
      </c>
      <c r="F30" t="str">
        <f>INDEX(Accounts!$C$2:$C$9,MATCH(D30,Accounts!$A$2:$A$9,0))</f>
        <v>Operating Expense</v>
      </c>
      <c r="G30" t="s">
        <v>48</v>
      </c>
      <c r="H30" t="s">
        <v>42</v>
      </c>
      <c r="I30">
        <v>13491</v>
      </c>
    </row>
    <row r="31" spans="1:9" x14ac:dyDescent="0.3">
      <c r="A31" t="s">
        <v>90</v>
      </c>
      <c r="B31" t="s">
        <v>87</v>
      </c>
      <c r="C31">
        <f t="shared" si="0"/>
        <v>45658</v>
      </c>
      <c r="D31">
        <v>4000</v>
      </c>
      <c r="E31" t="str">
        <f>INDEX(Accounts!$B$2:$B$9,MATCH(D31,Accounts!$A$2:$A$9,0))</f>
        <v>Product Sales</v>
      </c>
      <c r="F31" t="str">
        <f>INDEX(Accounts!$C$2:$C$9,MATCH(D31,Accounts!$A$2:$A$9,0))</f>
        <v>Revenue</v>
      </c>
      <c r="G31" t="s">
        <v>41</v>
      </c>
      <c r="H31" t="s">
        <v>44</v>
      </c>
      <c r="I31">
        <v>43574</v>
      </c>
    </row>
    <row r="32" spans="1:9" x14ac:dyDescent="0.3">
      <c r="A32" t="s">
        <v>91</v>
      </c>
      <c r="B32" t="s">
        <v>87</v>
      </c>
      <c r="C32">
        <f t="shared" si="0"/>
        <v>45658</v>
      </c>
      <c r="D32">
        <v>6200</v>
      </c>
      <c r="E32" t="str">
        <f>INDEX(Accounts!$B$2:$B$9,MATCH(D32,Accounts!$A$2:$A$9,0))</f>
        <v>Rent &amp; Utilities</v>
      </c>
      <c r="F32" t="str">
        <f>INDEX(Accounts!$C$2:$C$9,MATCH(D32,Accounts!$A$2:$A$9,0))</f>
        <v>Operating Expense</v>
      </c>
      <c r="G32" t="s">
        <v>47</v>
      </c>
      <c r="H32" t="s">
        <v>42</v>
      </c>
      <c r="I32">
        <v>4545</v>
      </c>
    </row>
    <row r="33" spans="1:9" x14ac:dyDescent="0.3">
      <c r="A33" t="s">
        <v>92</v>
      </c>
      <c r="B33" t="s">
        <v>87</v>
      </c>
      <c r="C33">
        <f t="shared" si="0"/>
        <v>45658</v>
      </c>
      <c r="D33">
        <v>4000</v>
      </c>
      <c r="E33" t="str">
        <f>INDEX(Accounts!$B$2:$B$9,MATCH(D33,Accounts!$A$2:$A$9,0))</f>
        <v>Product Sales</v>
      </c>
      <c r="F33" t="str">
        <f>INDEX(Accounts!$C$2:$C$9,MATCH(D33,Accounts!$A$2:$A$9,0))</f>
        <v>Revenue</v>
      </c>
      <c r="G33" t="s">
        <v>41</v>
      </c>
      <c r="H33" t="s">
        <v>46</v>
      </c>
      <c r="I33">
        <v>103642</v>
      </c>
    </row>
    <row r="34" spans="1:9" x14ac:dyDescent="0.3">
      <c r="A34" t="s">
        <v>93</v>
      </c>
      <c r="B34" t="s">
        <v>87</v>
      </c>
      <c r="C34">
        <f t="shared" si="0"/>
        <v>45658</v>
      </c>
      <c r="D34">
        <v>4000</v>
      </c>
      <c r="E34" t="str">
        <f>INDEX(Accounts!$B$2:$B$9,MATCH(D34,Accounts!$A$2:$A$9,0))</f>
        <v>Product Sales</v>
      </c>
      <c r="F34" t="str">
        <f>INDEX(Accounts!$C$2:$C$9,MATCH(D34,Accounts!$A$2:$A$9,0))</f>
        <v>Revenue</v>
      </c>
      <c r="G34" t="s">
        <v>47</v>
      </c>
      <c r="H34" t="s">
        <v>42</v>
      </c>
      <c r="I34">
        <v>125281</v>
      </c>
    </row>
    <row r="35" spans="1:9" x14ac:dyDescent="0.3">
      <c r="A35" t="s">
        <v>94</v>
      </c>
      <c r="B35" t="s">
        <v>95</v>
      </c>
      <c r="C35">
        <f t="shared" si="0"/>
        <v>45658</v>
      </c>
      <c r="D35">
        <v>6200</v>
      </c>
      <c r="E35" t="str">
        <f>INDEX(Accounts!$B$2:$B$9,MATCH(D35,Accounts!$A$2:$A$9,0))</f>
        <v>Rent &amp; Utilities</v>
      </c>
      <c r="F35" t="str">
        <f>INDEX(Accounts!$C$2:$C$9,MATCH(D35,Accounts!$A$2:$A$9,0))</f>
        <v>Operating Expense</v>
      </c>
      <c r="G35" t="s">
        <v>45</v>
      </c>
      <c r="H35" t="s">
        <v>46</v>
      </c>
      <c r="I35">
        <v>5045</v>
      </c>
    </row>
    <row r="36" spans="1:9" x14ac:dyDescent="0.3">
      <c r="A36" t="s">
        <v>96</v>
      </c>
      <c r="B36" t="s">
        <v>95</v>
      </c>
      <c r="C36">
        <f t="shared" si="0"/>
        <v>45658</v>
      </c>
      <c r="D36">
        <v>6100</v>
      </c>
      <c r="E36" t="str">
        <f>INDEX(Accounts!$B$2:$B$9,MATCH(D36,Accounts!$A$2:$A$9,0))</f>
        <v>Marketing Expense</v>
      </c>
      <c r="F36" t="str">
        <f>INDEX(Accounts!$C$2:$C$9,MATCH(D36,Accounts!$A$2:$A$9,0))</f>
        <v>Operating Expense</v>
      </c>
      <c r="G36" t="s">
        <v>45</v>
      </c>
      <c r="H36" t="s">
        <v>42</v>
      </c>
      <c r="I36">
        <v>11980</v>
      </c>
    </row>
    <row r="37" spans="1:9" x14ac:dyDescent="0.3">
      <c r="A37" t="s">
        <v>97</v>
      </c>
      <c r="B37" t="s">
        <v>95</v>
      </c>
      <c r="C37">
        <f t="shared" si="0"/>
        <v>45658</v>
      </c>
      <c r="D37">
        <v>6100</v>
      </c>
      <c r="E37" t="str">
        <f>INDEX(Accounts!$B$2:$B$9,MATCH(D37,Accounts!$A$2:$A$9,0))</f>
        <v>Marketing Expense</v>
      </c>
      <c r="F37" t="str">
        <f>INDEX(Accounts!$C$2:$C$9,MATCH(D37,Accounts!$A$2:$A$9,0))</f>
        <v>Operating Expense</v>
      </c>
      <c r="G37" t="s">
        <v>43</v>
      </c>
      <c r="H37" t="s">
        <v>46</v>
      </c>
      <c r="I37">
        <v>8543</v>
      </c>
    </row>
    <row r="38" spans="1:9" x14ac:dyDescent="0.3">
      <c r="A38" t="s">
        <v>98</v>
      </c>
      <c r="B38" t="s">
        <v>95</v>
      </c>
      <c r="C38">
        <f t="shared" si="0"/>
        <v>45658</v>
      </c>
      <c r="D38">
        <v>5000</v>
      </c>
      <c r="E38" t="str">
        <f>INDEX(Accounts!$B$2:$B$9,MATCH(D38,Accounts!$A$2:$A$9,0))</f>
        <v>Cost of Goods Sold</v>
      </c>
      <c r="F38" t="str">
        <f>INDEX(Accounts!$C$2:$C$9,MATCH(D38,Accounts!$A$2:$A$9,0))</f>
        <v>COGS</v>
      </c>
      <c r="G38" t="s">
        <v>47</v>
      </c>
      <c r="H38" t="s">
        <v>42</v>
      </c>
      <c r="I38">
        <v>37041</v>
      </c>
    </row>
    <row r="39" spans="1:9" x14ac:dyDescent="0.3">
      <c r="A39" t="s">
        <v>99</v>
      </c>
      <c r="B39" t="s">
        <v>95</v>
      </c>
      <c r="C39">
        <f t="shared" si="0"/>
        <v>45658</v>
      </c>
      <c r="D39">
        <v>6300</v>
      </c>
      <c r="E39" t="str">
        <f>INDEX(Accounts!$B$2:$B$9,MATCH(D39,Accounts!$A$2:$A$9,0))</f>
        <v>Logistics Expense</v>
      </c>
      <c r="F39" t="str">
        <f>INDEX(Accounts!$C$2:$C$9,MATCH(D39,Accounts!$A$2:$A$9,0))</f>
        <v>Operating Expense</v>
      </c>
      <c r="G39" t="s">
        <v>47</v>
      </c>
      <c r="H39" t="s">
        <v>42</v>
      </c>
      <c r="I39">
        <v>11892</v>
      </c>
    </row>
    <row r="40" spans="1:9" x14ac:dyDescent="0.3">
      <c r="A40" t="s">
        <v>100</v>
      </c>
      <c r="B40" t="s">
        <v>101</v>
      </c>
      <c r="C40">
        <f t="shared" si="0"/>
        <v>45658</v>
      </c>
      <c r="D40">
        <v>5000</v>
      </c>
      <c r="E40" t="str">
        <f>INDEX(Accounts!$B$2:$B$9,MATCH(D40,Accounts!$A$2:$A$9,0))</f>
        <v>Cost of Goods Sold</v>
      </c>
      <c r="F40" t="str">
        <f>INDEX(Accounts!$C$2:$C$9,MATCH(D40,Accounts!$A$2:$A$9,0))</f>
        <v>COGS</v>
      </c>
      <c r="G40" t="s">
        <v>45</v>
      </c>
      <c r="H40" t="s">
        <v>44</v>
      </c>
      <c r="I40">
        <v>14120</v>
      </c>
    </row>
    <row r="41" spans="1:9" x14ac:dyDescent="0.3">
      <c r="A41" t="s">
        <v>102</v>
      </c>
      <c r="B41" t="s">
        <v>103</v>
      </c>
      <c r="C41">
        <f t="shared" si="0"/>
        <v>45658</v>
      </c>
      <c r="D41">
        <v>6300</v>
      </c>
      <c r="E41" t="str">
        <f>INDEX(Accounts!$B$2:$B$9,MATCH(D41,Accounts!$A$2:$A$9,0))</f>
        <v>Logistics Expense</v>
      </c>
      <c r="F41" t="str">
        <f>INDEX(Accounts!$C$2:$C$9,MATCH(D41,Accounts!$A$2:$A$9,0))</f>
        <v>Operating Expense</v>
      </c>
      <c r="G41" t="s">
        <v>41</v>
      </c>
      <c r="H41" t="s">
        <v>46</v>
      </c>
      <c r="I41">
        <v>6647</v>
      </c>
    </row>
    <row r="42" spans="1:9" x14ac:dyDescent="0.3">
      <c r="A42" t="s">
        <v>104</v>
      </c>
      <c r="B42" t="s">
        <v>105</v>
      </c>
      <c r="C42">
        <f t="shared" si="0"/>
        <v>45658</v>
      </c>
      <c r="D42">
        <v>4000</v>
      </c>
      <c r="E42" t="str">
        <f>INDEX(Accounts!$B$2:$B$9,MATCH(D42,Accounts!$A$2:$A$9,0))</f>
        <v>Product Sales</v>
      </c>
      <c r="F42" t="str">
        <f>INDEX(Accounts!$C$2:$C$9,MATCH(D42,Accounts!$A$2:$A$9,0))</f>
        <v>Revenue</v>
      </c>
      <c r="G42" t="s">
        <v>48</v>
      </c>
      <c r="H42" t="s">
        <v>46</v>
      </c>
      <c r="I42">
        <v>154372</v>
      </c>
    </row>
    <row r="43" spans="1:9" x14ac:dyDescent="0.3">
      <c r="A43" t="s">
        <v>106</v>
      </c>
      <c r="B43" t="s">
        <v>105</v>
      </c>
      <c r="C43">
        <f t="shared" si="0"/>
        <v>45658</v>
      </c>
      <c r="D43">
        <v>4100</v>
      </c>
      <c r="E43" t="str">
        <f>INDEX(Accounts!$B$2:$B$9,MATCH(D43,Accounts!$A$2:$A$9,0))</f>
        <v>Sales Returns &amp; Discounts</v>
      </c>
      <c r="F43" t="str">
        <f>INDEX(Accounts!$C$2:$C$9,MATCH(D43,Accounts!$A$2:$A$9,0))</f>
        <v>Contra Revenue</v>
      </c>
      <c r="G43" t="s">
        <v>47</v>
      </c>
      <c r="H43" t="s">
        <v>42</v>
      </c>
      <c r="I43">
        <v>4652</v>
      </c>
    </row>
    <row r="44" spans="1:9" x14ac:dyDescent="0.3">
      <c r="A44" t="s">
        <v>107</v>
      </c>
      <c r="B44" t="s">
        <v>108</v>
      </c>
      <c r="C44">
        <f t="shared" si="0"/>
        <v>45658</v>
      </c>
      <c r="D44">
        <v>4000</v>
      </c>
      <c r="E44" t="str">
        <f>INDEX(Accounts!$B$2:$B$9,MATCH(D44,Accounts!$A$2:$A$9,0))</f>
        <v>Product Sales</v>
      </c>
      <c r="F44" t="str">
        <f>INDEX(Accounts!$C$2:$C$9,MATCH(D44,Accounts!$A$2:$A$9,0))</f>
        <v>Revenue</v>
      </c>
      <c r="G44" t="s">
        <v>48</v>
      </c>
      <c r="H44" t="s">
        <v>46</v>
      </c>
      <c r="I44">
        <v>171001</v>
      </c>
    </row>
    <row r="45" spans="1:9" x14ac:dyDescent="0.3">
      <c r="A45" t="s">
        <v>109</v>
      </c>
      <c r="B45" t="s">
        <v>108</v>
      </c>
      <c r="C45">
        <f t="shared" si="0"/>
        <v>45658</v>
      </c>
      <c r="D45">
        <v>6000</v>
      </c>
      <c r="E45" t="str">
        <f>INDEX(Accounts!$B$2:$B$9,MATCH(D45,Accounts!$A$2:$A$9,0))</f>
        <v>Salaries &amp; Wages</v>
      </c>
      <c r="F45" t="str">
        <f>INDEX(Accounts!$C$2:$C$9,MATCH(D45,Accounts!$A$2:$A$9,0))</f>
        <v>Operating Expense</v>
      </c>
      <c r="G45" t="s">
        <v>43</v>
      </c>
      <c r="H45" t="s">
        <v>44</v>
      </c>
      <c r="I45">
        <v>23128</v>
      </c>
    </row>
    <row r="46" spans="1:9" x14ac:dyDescent="0.3">
      <c r="A46" t="s">
        <v>110</v>
      </c>
      <c r="B46" t="s">
        <v>108</v>
      </c>
      <c r="C46">
        <f t="shared" si="0"/>
        <v>45658</v>
      </c>
      <c r="D46">
        <v>6000</v>
      </c>
      <c r="E46" t="str">
        <f>INDEX(Accounts!$B$2:$B$9,MATCH(D46,Accounts!$A$2:$A$9,0))</f>
        <v>Salaries &amp; Wages</v>
      </c>
      <c r="F46" t="str">
        <f>INDEX(Accounts!$C$2:$C$9,MATCH(D46,Accounts!$A$2:$A$9,0))</f>
        <v>Operating Expense</v>
      </c>
      <c r="G46" t="s">
        <v>47</v>
      </c>
      <c r="H46" t="s">
        <v>44</v>
      </c>
      <c r="I46">
        <v>5904</v>
      </c>
    </row>
    <row r="47" spans="1:9" x14ac:dyDescent="0.3">
      <c r="A47" t="s">
        <v>111</v>
      </c>
      <c r="B47" t="s">
        <v>108</v>
      </c>
      <c r="C47">
        <f t="shared" si="0"/>
        <v>45658</v>
      </c>
      <c r="D47">
        <v>6100</v>
      </c>
      <c r="E47" t="str">
        <f>INDEX(Accounts!$B$2:$B$9,MATCH(D47,Accounts!$A$2:$A$9,0))</f>
        <v>Marketing Expense</v>
      </c>
      <c r="F47" t="str">
        <f>INDEX(Accounts!$C$2:$C$9,MATCH(D47,Accounts!$A$2:$A$9,0))</f>
        <v>Operating Expense</v>
      </c>
      <c r="G47" t="s">
        <v>43</v>
      </c>
      <c r="H47" t="s">
        <v>42</v>
      </c>
      <c r="I47">
        <v>8888</v>
      </c>
    </row>
    <row r="48" spans="1:9" x14ac:dyDescent="0.3">
      <c r="A48" t="s">
        <v>112</v>
      </c>
      <c r="B48" t="s">
        <v>108</v>
      </c>
      <c r="C48">
        <f t="shared" si="0"/>
        <v>45658</v>
      </c>
      <c r="D48">
        <v>6000</v>
      </c>
      <c r="E48" t="str">
        <f>INDEX(Accounts!$B$2:$B$9,MATCH(D48,Accounts!$A$2:$A$9,0))</f>
        <v>Salaries &amp; Wages</v>
      </c>
      <c r="F48" t="str">
        <f>INDEX(Accounts!$C$2:$C$9,MATCH(D48,Accounts!$A$2:$A$9,0))</f>
        <v>Operating Expense</v>
      </c>
      <c r="G48" t="s">
        <v>41</v>
      </c>
      <c r="H48" t="s">
        <v>44</v>
      </c>
      <c r="I48">
        <v>11887</v>
      </c>
    </row>
    <row r="49" spans="1:9" x14ac:dyDescent="0.3">
      <c r="A49" t="s">
        <v>113</v>
      </c>
      <c r="B49" t="s">
        <v>114</v>
      </c>
      <c r="C49">
        <f t="shared" si="0"/>
        <v>45658</v>
      </c>
      <c r="D49">
        <v>5000</v>
      </c>
      <c r="E49" t="str">
        <f>INDEX(Accounts!$B$2:$B$9,MATCH(D49,Accounts!$A$2:$A$9,0))</f>
        <v>Cost of Goods Sold</v>
      </c>
      <c r="F49" t="str">
        <f>INDEX(Accounts!$C$2:$C$9,MATCH(D49,Accounts!$A$2:$A$9,0))</f>
        <v>COGS</v>
      </c>
      <c r="G49" t="s">
        <v>41</v>
      </c>
      <c r="H49" t="s">
        <v>44</v>
      </c>
      <c r="I49">
        <v>14698</v>
      </c>
    </row>
    <row r="50" spans="1:9" x14ac:dyDescent="0.3">
      <c r="A50" t="s">
        <v>115</v>
      </c>
      <c r="B50" t="s">
        <v>114</v>
      </c>
      <c r="C50">
        <f t="shared" si="0"/>
        <v>45658</v>
      </c>
      <c r="D50">
        <v>4000</v>
      </c>
      <c r="E50" t="str">
        <f>INDEX(Accounts!$B$2:$B$9,MATCH(D50,Accounts!$A$2:$A$9,0))</f>
        <v>Product Sales</v>
      </c>
      <c r="F50" t="str">
        <f>INDEX(Accounts!$C$2:$C$9,MATCH(D50,Accounts!$A$2:$A$9,0))</f>
        <v>Revenue</v>
      </c>
      <c r="G50" t="s">
        <v>41</v>
      </c>
      <c r="H50" t="s">
        <v>46</v>
      </c>
      <c r="I50">
        <v>94045</v>
      </c>
    </row>
    <row r="51" spans="1:9" x14ac:dyDescent="0.3">
      <c r="A51" t="s">
        <v>116</v>
      </c>
      <c r="B51" t="s">
        <v>114</v>
      </c>
      <c r="C51">
        <f t="shared" si="0"/>
        <v>45658</v>
      </c>
      <c r="D51">
        <v>5000</v>
      </c>
      <c r="E51" t="str">
        <f>INDEX(Accounts!$B$2:$B$9,MATCH(D51,Accounts!$A$2:$A$9,0))</f>
        <v>Cost of Goods Sold</v>
      </c>
      <c r="F51" t="str">
        <f>INDEX(Accounts!$C$2:$C$9,MATCH(D51,Accounts!$A$2:$A$9,0))</f>
        <v>COGS</v>
      </c>
      <c r="G51" t="s">
        <v>41</v>
      </c>
      <c r="H51" t="s">
        <v>44</v>
      </c>
      <c r="I51">
        <v>67142</v>
      </c>
    </row>
    <row r="52" spans="1:9" x14ac:dyDescent="0.3">
      <c r="A52" t="s">
        <v>117</v>
      </c>
      <c r="B52" t="s">
        <v>114</v>
      </c>
      <c r="C52">
        <f t="shared" si="0"/>
        <v>45658</v>
      </c>
      <c r="D52">
        <v>6200</v>
      </c>
      <c r="E52" t="str">
        <f>INDEX(Accounts!$B$2:$B$9,MATCH(D52,Accounts!$A$2:$A$9,0))</f>
        <v>Rent &amp; Utilities</v>
      </c>
      <c r="F52" t="str">
        <f>INDEX(Accounts!$C$2:$C$9,MATCH(D52,Accounts!$A$2:$A$9,0))</f>
        <v>Operating Expense</v>
      </c>
      <c r="G52" t="s">
        <v>41</v>
      </c>
      <c r="H52" t="s">
        <v>44</v>
      </c>
      <c r="I52">
        <v>5143</v>
      </c>
    </row>
    <row r="53" spans="1:9" x14ac:dyDescent="0.3">
      <c r="A53" t="s">
        <v>118</v>
      </c>
      <c r="B53" t="s">
        <v>114</v>
      </c>
      <c r="C53">
        <f t="shared" si="0"/>
        <v>45658</v>
      </c>
      <c r="D53">
        <v>4000</v>
      </c>
      <c r="E53" t="str">
        <f>INDEX(Accounts!$B$2:$B$9,MATCH(D53,Accounts!$A$2:$A$9,0))</f>
        <v>Product Sales</v>
      </c>
      <c r="F53" t="str">
        <f>INDEX(Accounts!$C$2:$C$9,MATCH(D53,Accounts!$A$2:$A$9,0))</f>
        <v>Revenue</v>
      </c>
      <c r="G53" t="s">
        <v>41</v>
      </c>
      <c r="H53" t="s">
        <v>42</v>
      </c>
      <c r="I53">
        <v>118797</v>
      </c>
    </row>
    <row r="54" spans="1:9" x14ac:dyDescent="0.3">
      <c r="A54" t="s">
        <v>119</v>
      </c>
      <c r="B54" t="s">
        <v>114</v>
      </c>
      <c r="C54">
        <f t="shared" si="0"/>
        <v>45658</v>
      </c>
      <c r="D54">
        <v>6000</v>
      </c>
      <c r="E54" t="str">
        <f>INDEX(Accounts!$B$2:$B$9,MATCH(D54,Accounts!$A$2:$A$9,0))</f>
        <v>Salaries &amp; Wages</v>
      </c>
      <c r="F54" t="str">
        <f>INDEX(Accounts!$C$2:$C$9,MATCH(D54,Accounts!$A$2:$A$9,0))</f>
        <v>Operating Expense</v>
      </c>
      <c r="G54" t="s">
        <v>43</v>
      </c>
      <c r="H54" t="s">
        <v>44</v>
      </c>
      <c r="I54">
        <v>34474</v>
      </c>
    </row>
    <row r="55" spans="1:9" x14ac:dyDescent="0.3">
      <c r="A55" t="s">
        <v>120</v>
      </c>
      <c r="B55" t="s">
        <v>114</v>
      </c>
      <c r="C55">
        <f t="shared" si="0"/>
        <v>45658</v>
      </c>
      <c r="D55">
        <v>6200</v>
      </c>
      <c r="E55" t="str">
        <f>INDEX(Accounts!$B$2:$B$9,MATCH(D55,Accounts!$A$2:$A$9,0))</f>
        <v>Rent &amp; Utilities</v>
      </c>
      <c r="F55" t="str">
        <f>INDEX(Accounts!$C$2:$C$9,MATCH(D55,Accounts!$A$2:$A$9,0))</f>
        <v>Operating Expense</v>
      </c>
      <c r="G55" t="s">
        <v>45</v>
      </c>
      <c r="H55" t="s">
        <v>44</v>
      </c>
      <c r="I55">
        <v>10618</v>
      </c>
    </row>
    <row r="56" spans="1:9" x14ac:dyDescent="0.3">
      <c r="A56" t="s">
        <v>121</v>
      </c>
      <c r="B56" t="s">
        <v>122</v>
      </c>
      <c r="C56">
        <f t="shared" si="0"/>
        <v>45658</v>
      </c>
      <c r="D56">
        <v>4100</v>
      </c>
      <c r="E56" t="str">
        <f>INDEX(Accounts!$B$2:$B$9,MATCH(D56,Accounts!$A$2:$A$9,0))</f>
        <v>Sales Returns &amp; Discounts</v>
      </c>
      <c r="F56" t="str">
        <f>INDEX(Accounts!$C$2:$C$9,MATCH(D56,Accounts!$A$2:$A$9,0))</f>
        <v>Contra Revenue</v>
      </c>
      <c r="G56" t="s">
        <v>45</v>
      </c>
      <c r="H56" t="s">
        <v>42</v>
      </c>
      <c r="I56">
        <v>1152</v>
      </c>
    </row>
    <row r="57" spans="1:9" x14ac:dyDescent="0.3">
      <c r="A57" t="s">
        <v>123</v>
      </c>
      <c r="B57" t="s">
        <v>122</v>
      </c>
      <c r="C57">
        <f t="shared" si="0"/>
        <v>45658</v>
      </c>
      <c r="D57">
        <v>6000</v>
      </c>
      <c r="E57" t="str">
        <f>INDEX(Accounts!$B$2:$B$9,MATCH(D57,Accounts!$A$2:$A$9,0))</f>
        <v>Salaries &amp; Wages</v>
      </c>
      <c r="F57" t="str">
        <f>INDEX(Accounts!$C$2:$C$9,MATCH(D57,Accounts!$A$2:$A$9,0))</f>
        <v>Operating Expense</v>
      </c>
      <c r="G57" t="s">
        <v>43</v>
      </c>
      <c r="H57" t="s">
        <v>42</v>
      </c>
      <c r="I57">
        <v>7400</v>
      </c>
    </row>
    <row r="58" spans="1:9" x14ac:dyDescent="0.3">
      <c r="A58" t="s">
        <v>124</v>
      </c>
      <c r="B58" t="s">
        <v>122</v>
      </c>
      <c r="C58">
        <f t="shared" si="0"/>
        <v>45658</v>
      </c>
      <c r="D58">
        <v>5000</v>
      </c>
      <c r="E58" t="str">
        <f>INDEX(Accounts!$B$2:$B$9,MATCH(D58,Accounts!$A$2:$A$9,0))</f>
        <v>Cost of Goods Sold</v>
      </c>
      <c r="F58" t="str">
        <f>INDEX(Accounts!$C$2:$C$9,MATCH(D58,Accounts!$A$2:$A$9,0))</f>
        <v>COGS</v>
      </c>
      <c r="G58" t="s">
        <v>41</v>
      </c>
      <c r="H58" t="s">
        <v>44</v>
      </c>
      <c r="I58">
        <v>60018</v>
      </c>
    </row>
    <row r="59" spans="1:9" x14ac:dyDescent="0.3">
      <c r="A59" t="s">
        <v>125</v>
      </c>
      <c r="B59" t="s">
        <v>126</v>
      </c>
      <c r="C59">
        <f t="shared" si="0"/>
        <v>45658</v>
      </c>
      <c r="D59">
        <v>6200</v>
      </c>
      <c r="E59" t="str">
        <f>INDEX(Accounts!$B$2:$B$9,MATCH(D59,Accounts!$A$2:$A$9,0))</f>
        <v>Rent &amp; Utilities</v>
      </c>
      <c r="F59" t="str">
        <f>INDEX(Accounts!$C$2:$C$9,MATCH(D59,Accounts!$A$2:$A$9,0))</f>
        <v>Operating Expense</v>
      </c>
      <c r="G59" t="s">
        <v>48</v>
      </c>
      <c r="H59" t="s">
        <v>46</v>
      </c>
      <c r="I59">
        <v>5060</v>
      </c>
    </row>
    <row r="60" spans="1:9" x14ac:dyDescent="0.3">
      <c r="A60" t="s">
        <v>127</v>
      </c>
      <c r="B60" t="s">
        <v>126</v>
      </c>
      <c r="C60">
        <f t="shared" si="0"/>
        <v>45658</v>
      </c>
      <c r="D60">
        <v>4000</v>
      </c>
      <c r="E60" t="str">
        <f>INDEX(Accounts!$B$2:$B$9,MATCH(D60,Accounts!$A$2:$A$9,0))</f>
        <v>Product Sales</v>
      </c>
      <c r="F60" t="str">
        <f>INDEX(Accounts!$C$2:$C$9,MATCH(D60,Accounts!$A$2:$A$9,0))</f>
        <v>Revenue</v>
      </c>
      <c r="G60" t="s">
        <v>41</v>
      </c>
      <c r="H60" t="s">
        <v>42</v>
      </c>
      <c r="I60">
        <v>176828</v>
      </c>
    </row>
    <row r="61" spans="1:9" x14ac:dyDescent="0.3">
      <c r="A61" t="s">
        <v>128</v>
      </c>
      <c r="B61" t="s">
        <v>129</v>
      </c>
      <c r="C61">
        <f t="shared" si="0"/>
        <v>45658</v>
      </c>
      <c r="D61">
        <v>6000</v>
      </c>
      <c r="E61" t="str">
        <f>INDEX(Accounts!$B$2:$B$9,MATCH(D61,Accounts!$A$2:$A$9,0))</f>
        <v>Salaries &amp; Wages</v>
      </c>
      <c r="F61" t="str">
        <f>INDEX(Accounts!$C$2:$C$9,MATCH(D61,Accounts!$A$2:$A$9,0))</f>
        <v>Operating Expense</v>
      </c>
      <c r="G61" t="s">
        <v>43</v>
      </c>
      <c r="H61" t="s">
        <v>46</v>
      </c>
      <c r="I61">
        <v>26295</v>
      </c>
    </row>
    <row r="62" spans="1:9" x14ac:dyDescent="0.3">
      <c r="A62" t="s">
        <v>130</v>
      </c>
      <c r="B62" t="s">
        <v>129</v>
      </c>
      <c r="C62">
        <f t="shared" si="0"/>
        <v>45658</v>
      </c>
      <c r="D62">
        <v>6100</v>
      </c>
      <c r="E62" t="str">
        <f>INDEX(Accounts!$B$2:$B$9,MATCH(D62,Accounts!$A$2:$A$9,0))</f>
        <v>Marketing Expense</v>
      </c>
      <c r="F62" t="str">
        <f>INDEX(Accounts!$C$2:$C$9,MATCH(D62,Accounts!$A$2:$A$9,0))</f>
        <v>Operating Expense</v>
      </c>
      <c r="G62" t="s">
        <v>43</v>
      </c>
      <c r="H62" t="s">
        <v>42</v>
      </c>
      <c r="I62">
        <v>16262</v>
      </c>
    </row>
    <row r="63" spans="1:9" x14ac:dyDescent="0.3">
      <c r="A63" t="s">
        <v>131</v>
      </c>
      <c r="B63" t="s">
        <v>129</v>
      </c>
      <c r="C63">
        <f t="shared" si="0"/>
        <v>45658</v>
      </c>
      <c r="D63">
        <v>6300</v>
      </c>
      <c r="E63" t="str">
        <f>INDEX(Accounts!$B$2:$B$9,MATCH(D63,Accounts!$A$2:$A$9,0))</f>
        <v>Logistics Expense</v>
      </c>
      <c r="F63" t="str">
        <f>INDEX(Accounts!$C$2:$C$9,MATCH(D63,Accounts!$A$2:$A$9,0))</f>
        <v>Operating Expense</v>
      </c>
      <c r="G63" t="s">
        <v>43</v>
      </c>
      <c r="H63" t="s">
        <v>42</v>
      </c>
      <c r="I63">
        <v>10335</v>
      </c>
    </row>
    <row r="64" spans="1:9" x14ac:dyDescent="0.3">
      <c r="A64" t="s">
        <v>132</v>
      </c>
      <c r="B64" t="s">
        <v>129</v>
      </c>
      <c r="C64">
        <f t="shared" si="0"/>
        <v>45658</v>
      </c>
      <c r="D64">
        <v>4000</v>
      </c>
      <c r="E64" t="str">
        <f>INDEX(Accounts!$B$2:$B$9,MATCH(D64,Accounts!$A$2:$A$9,0))</f>
        <v>Product Sales</v>
      </c>
      <c r="F64" t="str">
        <f>INDEX(Accounts!$C$2:$C$9,MATCH(D64,Accounts!$A$2:$A$9,0))</f>
        <v>Revenue</v>
      </c>
      <c r="G64" t="s">
        <v>45</v>
      </c>
      <c r="H64" t="s">
        <v>42</v>
      </c>
      <c r="I64">
        <v>166356</v>
      </c>
    </row>
    <row r="65" spans="1:9" x14ac:dyDescent="0.3">
      <c r="A65" t="s">
        <v>133</v>
      </c>
      <c r="B65" t="s">
        <v>129</v>
      </c>
      <c r="C65">
        <f t="shared" si="0"/>
        <v>45658</v>
      </c>
      <c r="D65">
        <v>6300</v>
      </c>
      <c r="E65" t="str">
        <f>INDEX(Accounts!$B$2:$B$9,MATCH(D65,Accounts!$A$2:$A$9,0))</f>
        <v>Logistics Expense</v>
      </c>
      <c r="F65" t="str">
        <f>INDEX(Accounts!$C$2:$C$9,MATCH(D65,Accounts!$A$2:$A$9,0))</f>
        <v>Operating Expense</v>
      </c>
      <c r="G65" t="s">
        <v>43</v>
      </c>
      <c r="H65" t="s">
        <v>46</v>
      </c>
      <c r="I65">
        <v>13656</v>
      </c>
    </row>
    <row r="66" spans="1:9" x14ac:dyDescent="0.3">
      <c r="A66" t="s">
        <v>134</v>
      </c>
      <c r="B66" t="s">
        <v>135</v>
      </c>
      <c r="C66">
        <f t="shared" ref="C66:C129" si="1">DATE(YEAR(B66),MONTH(B66),1)</f>
        <v>45658</v>
      </c>
      <c r="D66">
        <v>4000</v>
      </c>
      <c r="E66" t="str">
        <f>INDEX(Accounts!$B$2:$B$9,MATCH(D66,Accounts!$A$2:$A$9,0))</f>
        <v>Product Sales</v>
      </c>
      <c r="F66" t="str">
        <f>INDEX(Accounts!$C$2:$C$9,MATCH(D66,Accounts!$A$2:$A$9,0))</f>
        <v>Revenue</v>
      </c>
      <c r="G66" t="s">
        <v>41</v>
      </c>
      <c r="H66" t="s">
        <v>42</v>
      </c>
      <c r="I66">
        <v>40433</v>
      </c>
    </row>
    <row r="67" spans="1:9" x14ac:dyDescent="0.3">
      <c r="A67" t="s">
        <v>136</v>
      </c>
      <c r="B67" t="s">
        <v>135</v>
      </c>
      <c r="C67">
        <f t="shared" si="1"/>
        <v>45658</v>
      </c>
      <c r="D67">
        <v>6200</v>
      </c>
      <c r="E67" t="str">
        <f>INDEX(Accounts!$B$2:$B$9,MATCH(D67,Accounts!$A$2:$A$9,0))</f>
        <v>Rent &amp; Utilities</v>
      </c>
      <c r="F67" t="str">
        <f>INDEX(Accounts!$C$2:$C$9,MATCH(D67,Accounts!$A$2:$A$9,0))</f>
        <v>Operating Expense</v>
      </c>
      <c r="G67" t="s">
        <v>48</v>
      </c>
      <c r="H67" t="s">
        <v>42</v>
      </c>
      <c r="I67">
        <v>5724</v>
      </c>
    </row>
    <row r="68" spans="1:9" x14ac:dyDescent="0.3">
      <c r="A68" t="s">
        <v>137</v>
      </c>
      <c r="B68" t="s">
        <v>135</v>
      </c>
      <c r="C68">
        <f t="shared" si="1"/>
        <v>45658</v>
      </c>
      <c r="D68">
        <v>4000</v>
      </c>
      <c r="E68" t="str">
        <f>INDEX(Accounts!$B$2:$B$9,MATCH(D68,Accounts!$A$2:$A$9,0))</f>
        <v>Product Sales</v>
      </c>
      <c r="F68" t="str">
        <f>INDEX(Accounts!$C$2:$C$9,MATCH(D68,Accounts!$A$2:$A$9,0))</f>
        <v>Revenue</v>
      </c>
      <c r="G68" t="s">
        <v>41</v>
      </c>
      <c r="H68" t="s">
        <v>44</v>
      </c>
      <c r="I68">
        <v>43033</v>
      </c>
    </row>
    <row r="69" spans="1:9" x14ac:dyDescent="0.3">
      <c r="A69" t="s">
        <v>138</v>
      </c>
      <c r="B69" t="s">
        <v>135</v>
      </c>
      <c r="C69">
        <f t="shared" si="1"/>
        <v>45658</v>
      </c>
      <c r="D69">
        <v>4000</v>
      </c>
      <c r="E69" t="str">
        <f>INDEX(Accounts!$B$2:$B$9,MATCH(D69,Accounts!$A$2:$A$9,0))</f>
        <v>Product Sales</v>
      </c>
      <c r="F69" t="str">
        <f>INDEX(Accounts!$C$2:$C$9,MATCH(D69,Accounts!$A$2:$A$9,0))</f>
        <v>Revenue</v>
      </c>
      <c r="G69" t="s">
        <v>41</v>
      </c>
      <c r="H69" t="s">
        <v>42</v>
      </c>
      <c r="I69">
        <v>114884</v>
      </c>
    </row>
    <row r="70" spans="1:9" x14ac:dyDescent="0.3">
      <c r="A70" t="s">
        <v>139</v>
      </c>
      <c r="B70" t="s">
        <v>135</v>
      </c>
      <c r="C70">
        <f t="shared" si="1"/>
        <v>45658</v>
      </c>
      <c r="D70">
        <v>4000</v>
      </c>
      <c r="E70" t="str">
        <f>INDEX(Accounts!$B$2:$B$9,MATCH(D70,Accounts!$A$2:$A$9,0))</f>
        <v>Product Sales</v>
      </c>
      <c r="F70" t="str">
        <f>INDEX(Accounts!$C$2:$C$9,MATCH(D70,Accounts!$A$2:$A$9,0))</f>
        <v>Revenue</v>
      </c>
      <c r="G70" t="s">
        <v>41</v>
      </c>
      <c r="H70" t="s">
        <v>46</v>
      </c>
      <c r="I70">
        <v>64073</v>
      </c>
    </row>
    <row r="71" spans="1:9" x14ac:dyDescent="0.3">
      <c r="A71" t="s">
        <v>140</v>
      </c>
      <c r="B71" t="s">
        <v>135</v>
      </c>
      <c r="C71">
        <f t="shared" si="1"/>
        <v>45658</v>
      </c>
      <c r="D71">
        <v>4000</v>
      </c>
      <c r="E71" t="str">
        <f>INDEX(Accounts!$B$2:$B$9,MATCH(D71,Accounts!$A$2:$A$9,0))</f>
        <v>Product Sales</v>
      </c>
      <c r="F71" t="str">
        <f>INDEX(Accounts!$C$2:$C$9,MATCH(D71,Accounts!$A$2:$A$9,0))</f>
        <v>Revenue</v>
      </c>
      <c r="G71" t="s">
        <v>43</v>
      </c>
      <c r="H71" t="s">
        <v>46</v>
      </c>
      <c r="I71">
        <v>63821</v>
      </c>
    </row>
    <row r="72" spans="1:9" x14ac:dyDescent="0.3">
      <c r="A72" t="s">
        <v>141</v>
      </c>
      <c r="B72" t="s">
        <v>135</v>
      </c>
      <c r="C72">
        <f t="shared" si="1"/>
        <v>45658</v>
      </c>
      <c r="D72">
        <v>6300</v>
      </c>
      <c r="E72" t="str">
        <f>INDEX(Accounts!$B$2:$B$9,MATCH(D72,Accounts!$A$2:$A$9,0))</f>
        <v>Logistics Expense</v>
      </c>
      <c r="F72" t="str">
        <f>INDEX(Accounts!$C$2:$C$9,MATCH(D72,Accounts!$A$2:$A$9,0))</f>
        <v>Operating Expense</v>
      </c>
      <c r="G72" t="s">
        <v>43</v>
      </c>
      <c r="H72" t="s">
        <v>46</v>
      </c>
      <c r="I72">
        <v>13779</v>
      </c>
    </row>
    <row r="73" spans="1:9" x14ac:dyDescent="0.3">
      <c r="A73" t="s">
        <v>142</v>
      </c>
      <c r="B73" t="s">
        <v>143</v>
      </c>
      <c r="C73">
        <f t="shared" si="1"/>
        <v>45658</v>
      </c>
      <c r="D73">
        <v>5000</v>
      </c>
      <c r="E73" t="str">
        <f>INDEX(Accounts!$B$2:$B$9,MATCH(D73,Accounts!$A$2:$A$9,0))</f>
        <v>Cost of Goods Sold</v>
      </c>
      <c r="F73" t="str">
        <f>INDEX(Accounts!$C$2:$C$9,MATCH(D73,Accounts!$A$2:$A$9,0))</f>
        <v>COGS</v>
      </c>
      <c r="G73" t="s">
        <v>41</v>
      </c>
      <c r="H73" t="s">
        <v>42</v>
      </c>
      <c r="I73">
        <v>23247</v>
      </c>
    </row>
    <row r="74" spans="1:9" x14ac:dyDescent="0.3">
      <c r="A74" t="s">
        <v>144</v>
      </c>
      <c r="B74" t="s">
        <v>143</v>
      </c>
      <c r="C74">
        <f t="shared" si="1"/>
        <v>45658</v>
      </c>
      <c r="D74">
        <v>5000</v>
      </c>
      <c r="E74" t="str">
        <f>INDEX(Accounts!$B$2:$B$9,MATCH(D74,Accounts!$A$2:$A$9,0))</f>
        <v>Cost of Goods Sold</v>
      </c>
      <c r="F74" t="str">
        <f>INDEX(Accounts!$C$2:$C$9,MATCH(D74,Accounts!$A$2:$A$9,0))</f>
        <v>COGS</v>
      </c>
      <c r="G74" t="s">
        <v>48</v>
      </c>
      <c r="H74" t="s">
        <v>46</v>
      </c>
      <c r="I74">
        <v>18317</v>
      </c>
    </row>
    <row r="75" spans="1:9" x14ac:dyDescent="0.3">
      <c r="A75" t="s">
        <v>145</v>
      </c>
      <c r="B75" t="s">
        <v>143</v>
      </c>
      <c r="C75">
        <f t="shared" si="1"/>
        <v>45658</v>
      </c>
      <c r="D75">
        <v>4000</v>
      </c>
      <c r="E75" t="str">
        <f>INDEX(Accounts!$B$2:$B$9,MATCH(D75,Accounts!$A$2:$A$9,0))</f>
        <v>Product Sales</v>
      </c>
      <c r="F75" t="str">
        <f>INDEX(Accounts!$C$2:$C$9,MATCH(D75,Accounts!$A$2:$A$9,0))</f>
        <v>Revenue</v>
      </c>
      <c r="G75" t="s">
        <v>41</v>
      </c>
      <c r="H75" t="s">
        <v>44</v>
      </c>
      <c r="I75">
        <v>25443</v>
      </c>
    </row>
    <row r="76" spans="1:9" x14ac:dyDescent="0.3">
      <c r="A76" t="s">
        <v>146</v>
      </c>
      <c r="B76" t="s">
        <v>147</v>
      </c>
      <c r="C76">
        <f t="shared" si="1"/>
        <v>45658</v>
      </c>
      <c r="D76">
        <v>4000</v>
      </c>
      <c r="E76" t="str">
        <f>INDEX(Accounts!$B$2:$B$9,MATCH(D76,Accounts!$A$2:$A$9,0))</f>
        <v>Product Sales</v>
      </c>
      <c r="F76" t="str">
        <f>INDEX(Accounts!$C$2:$C$9,MATCH(D76,Accounts!$A$2:$A$9,0))</f>
        <v>Revenue</v>
      </c>
      <c r="G76" t="s">
        <v>47</v>
      </c>
      <c r="H76" t="s">
        <v>44</v>
      </c>
      <c r="I76">
        <v>56427</v>
      </c>
    </row>
    <row r="77" spans="1:9" x14ac:dyDescent="0.3">
      <c r="A77" t="s">
        <v>148</v>
      </c>
      <c r="B77" t="s">
        <v>147</v>
      </c>
      <c r="C77">
        <f t="shared" si="1"/>
        <v>45658</v>
      </c>
      <c r="D77">
        <v>4000</v>
      </c>
      <c r="E77" t="str">
        <f>INDEX(Accounts!$B$2:$B$9,MATCH(D77,Accounts!$A$2:$A$9,0))</f>
        <v>Product Sales</v>
      </c>
      <c r="F77" t="str">
        <f>INDEX(Accounts!$C$2:$C$9,MATCH(D77,Accounts!$A$2:$A$9,0))</f>
        <v>Revenue</v>
      </c>
      <c r="G77" t="s">
        <v>45</v>
      </c>
      <c r="H77" t="s">
        <v>46</v>
      </c>
      <c r="I77">
        <v>162044</v>
      </c>
    </row>
    <row r="78" spans="1:9" x14ac:dyDescent="0.3">
      <c r="A78" t="s">
        <v>149</v>
      </c>
      <c r="B78" t="s">
        <v>150</v>
      </c>
      <c r="C78">
        <f t="shared" si="1"/>
        <v>45658</v>
      </c>
      <c r="D78">
        <v>4000</v>
      </c>
      <c r="E78" t="str">
        <f>INDEX(Accounts!$B$2:$B$9,MATCH(D78,Accounts!$A$2:$A$9,0))</f>
        <v>Product Sales</v>
      </c>
      <c r="F78" t="str">
        <f>INDEX(Accounts!$C$2:$C$9,MATCH(D78,Accounts!$A$2:$A$9,0))</f>
        <v>Revenue</v>
      </c>
      <c r="G78" t="s">
        <v>45</v>
      </c>
      <c r="H78" t="s">
        <v>42</v>
      </c>
      <c r="I78">
        <v>83513</v>
      </c>
    </row>
    <row r="79" spans="1:9" x14ac:dyDescent="0.3">
      <c r="A79" t="s">
        <v>151</v>
      </c>
      <c r="B79" t="s">
        <v>150</v>
      </c>
      <c r="C79">
        <f t="shared" si="1"/>
        <v>45658</v>
      </c>
      <c r="D79">
        <v>4000</v>
      </c>
      <c r="E79" t="str">
        <f>INDEX(Accounts!$B$2:$B$9,MATCH(D79,Accounts!$A$2:$A$9,0))</f>
        <v>Product Sales</v>
      </c>
      <c r="F79" t="str">
        <f>INDEX(Accounts!$C$2:$C$9,MATCH(D79,Accounts!$A$2:$A$9,0))</f>
        <v>Revenue</v>
      </c>
      <c r="G79" t="s">
        <v>45</v>
      </c>
      <c r="H79" t="s">
        <v>42</v>
      </c>
      <c r="I79">
        <v>146178</v>
      </c>
    </row>
    <row r="80" spans="1:9" x14ac:dyDescent="0.3">
      <c r="A80" t="s">
        <v>152</v>
      </c>
      <c r="B80" t="s">
        <v>150</v>
      </c>
      <c r="C80">
        <f t="shared" si="1"/>
        <v>45658</v>
      </c>
      <c r="D80">
        <v>4100</v>
      </c>
      <c r="E80" t="str">
        <f>INDEX(Accounts!$B$2:$B$9,MATCH(D80,Accounts!$A$2:$A$9,0))</f>
        <v>Sales Returns &amp; Discounts</v>
      </c>
      <c r="F80" t="str">
        <f>INDEX(Accounts!$C$2:$C$9,MATCH(D80,Accounts!$A$2:$A$9,0))</f>
        <v>Contra Revenue</v>
      </c>
      <c r="G80" t="s">
        <v>45</v>
      </c>
      <c r="H80" t="s">
        <v>46</v>
      </c>
      <c r="I80">
        <v>4258</v>
      </c>
    </row>
    <row r="81" spans="1:9" x14ac:dyDescent="0.3">
      <c r="A81" t="s">
        <v>153</v>
      </c>
      <c r="B81" t="s">
        <v>150</v>
      </c>
      <c r="C81">
        <f t="shared" si="1"/>
        <v>45658</v>
      </c>
      <c r="D81">
        <v>6400</v>
      </c>
      <c r="E81" t="str">
        <f>INDEX(Accounts!$B$2:$B$9,MATCH(D81,Accounts!$A$2:$A$9,0))</f>
        <v>Software &amp; Admin</v>
      </c>
      <c r="F81" t="str">
        <f>INDEX(Accounts!$C$2:$C$9,MATCH(D81,Accounts!$A$2:$A$9,0))</f>
        <v>Operating Expense</v>
      </c>
      <c r="G81" t="s">
        <v>41</v>
      </c>
      <c r="H81" t="s">
        <v>44</v>
      </c>
      <c r="I81">
        <v>8007</v>
      </c>
    </row>
    <row r="82" spans="1:9" x14ac:dyDescent="0.3">
      <c r="A82" t="s">
        <v>154</v>
      </c>
      <c r="B82" t="s">
        <v>155</v>
      </c>
      <c r="C82">
        <f t="shared" si="1"/>
        <v>45658</v>
      </c>
      <c r="D82">
        <v>6000</v>
      </c>
      <c r="E82" t="str">
        <f>INDEX(Accounts!$B$2:$B$9,MATCH(D82,Accounts!$A$2:$A$9,0))</f>
        <v>Salaries &amp; Wages</v>
      </c>
      <c r="F82" t="str">
        <f>INDEX(Accounts!$C$2:$C$9,MATCH(D82,Accounts!$A$2:$A$9,0))</f>
        <v>Operating Expense</v>
      </c>
      <c r="G82" t="s">
        <v>43</v>
      </c>
      <c r="H82" t="s">
        <v>46</v>
      </c>
      <c r="I82">
        <v>19794</v>
      </c>
    </row>
    <row r="83" spans="1:9" x14ac:dyDescent="0.3">
      <c r="A83" t="s">
        <v>156</v>
      </c>
      <c r="B83" t="s">
        <v>155</v>
      </c>
      <c r="C83">
        <f t="shared" si="1"/>
        <v>45658</v>
      </c>
      <c r="D83">
        <v>6400</v>
      </c>
      <c r="E83" t="str">
        <f>INDEX(Accounts!$B$2:$B$9,MATCH(D83,Accounts!$A$2:$A$9,0))</f>
        <v>Software &amp; Admin</v>
      </c>
      <c r="F83" t="str">
        <f>INDEX(Accounts!$C$2:$C$9,MATCH(D83,Accounts!$A$2:$A$9,0))</f>
        <v>Operating Expense</v>
      </c>
      <c r="G83" t="s">
        <v>45</v>
      </c>
      <c r="H83" t="s">
        <v>42</v>
      </c>
      <c r="I83">
        <v>5930</v>
      </c>
    </row>
    <row r="84" spans="1:9" x14ac:dyDescent="0.3">
      <c r="A84" t="s">
        <v>157</v>
      </c>
      <c r="B84" t="s">
        <v>158</v>
      </c>
      <c r="C84">
        <f t="shared" si="1"/>
        <v>45658</v>
      </c>
      <c r="D84">
        <v>6000</v>
      </c>
      <c r="E84" t="str">
        <f>INDEX(Accounts!$B$2:$B$9,MATCH(D84,Accounts!$A$2:$A$9,0))</f>
        <v>Salaries &amp; Wages</v>
      </c>
      <c r="F84" t="str">
        <f>INDEX(Accounts!$C$2:$C$9,MATCH(D84,Accounts!$A$2:$A$9,0))</f>
        <v>Operating Expense</v>
      </c>
      <c r="G84" t="s">
        <v>41</v>
      </c>
      <c r="H84" t="s">
        <v>46</v>
      </c>
      <c r="I84">
        <v>14115</v>
      </c>
    </row>
    <row r="85" spans="1:9" x14ac:dyDescent="0.3">
      <c r="A85" t="s">
        <v>159</v>
      </c>
      <c r="B85" t="s">
        <v>158</v>
      </c>
      <c r="C85">
        <f t="shared" si="1"/>
        <v>45658</v>
      </c>
      <c r="D85">
        <v>4100</v>
      </c>
      <c r="E85" t="str">
        <f>INDEX(Accounts!$B$2:$B$9,MATCH(D85,Accounts!$A$2:$A$9,0))</f>
        <v>Sales Returns &amp; Discounts</v>
      </c>
      <c r="F85" t="str">
        <f>INDEX(Accounts!$C$2:$C$9,MATCH(D85,Accounts!$A$2:$A$9,0))</f>
        <v>Contra Revenue</v>
      </c>
      <c r="G85" t="s">
        <v>48</v>
      </c>
      <c r="H85" t="s">
        <v>46</v>
      </c>
      <c r="I85">
        <v>9666</v>
      </c>
    </row>
    <row r="86" spans="1:9" x14ac:dyDescent="0.3">
      <c r="A86" t="s">
        <v>160</v>
      </c>
      <c r="B86" t="s">
        <v>161</v>
      </c>
      <c r="C86">
        <f t="shared" si="1"/>
        <v>45658</v>
      </c>
      <c r="D86">
        <v>6000</v>
      </c>
      <c r="E86" t="str">
        <f>INDEX(Accounts!$B$2:$B$9,MATCH(D86,Accounts!$A$2:$A$9,0))</f>
        <v>Salaries &amp; Wages</v>
      </c>
      <c r="F86" t="str">
        <f>INDEX(Accounts!$C$2:$C$9,MATCH(D86,Accounts!$A$2:$A$9,0))</f>
        <v>Operating Expense</v>
      </c>
      <c r="G86" t="s">
        <v>45</v>
      </c>
      <c r="H86" t="s">
        <v>42</v>
      </c>
      <c r="I86">
        <v>6643</v>
      </c>
    </row>
    <row r="87" spans="1:9" x14ac:dyDescent="0.3">
      <c r="A87" t="s">
        <v>162</v>
      </c>
      <c r="B87" t="s">
        <v>161</v>
      </c>
      <c r="C87">
        <f t="shared" si="1"/>
        <v>45658</v>
      </c>
      <c r="D87">
        <v>6000</v>
      </c>
      <c r="E87" t="str">
        <f>INDEX(Accounts!$B$2:$B$9,MATCH(D87,Accounts!$A$2:$A$9,0))</f>
        <v>Salaries &amp; Wages</v>
      </c>
      <c r="F87" t="str">
        <f>INDEX(Accounts!$C$2:$C$9,MATCH(D87,Accounts!$A$2:$A$9,0))</f>
        <v>Operating Expense</v>
      </c>
      <c r="G87" t="s">
        <v>43</v>
      </c>
      <c r="H87" t="s">
        <v>42</v>
      </c>
      <c r="I87">
        <v>26765</v>
      </c>
    </row>
    <row r="88" spans="1:9" x14ac:dyDescent="0.3">
      <c r="A88" t="s">
        <v>163</v>
      </c>
      <c r="B88" t="s">
        <v>164</v>
      </c>
      <c r="C88">
        <f t="shared" si="1"/>
        <v>45658</v>
      </c>
      <c r="D88">
        <v>4000</v>
      </c>
      <c r="E88" t="str">
        <f>INDEX(Accounts!$B$2:$B$9,MATCH(D88,Accounts!$A$2:$A$9,0))</f>
        <v>Product Sales</v>
      </c>
      <c r="F88" t="str">
        <f>INDEX(Accounts!$C$2:$C$9,MATCH(D88,Accounts!$A$2:$A$9,0))</f>
        <v>Revenue</v>
      </c>
      <c r="G88" t="s">
        <v>45</v>
      </c>
      <c r="H88" t="s">
        <v>42</v>
      </c>
      <c r="I88">
        <v>101939</v>
      </c>
    </row>
    <row r="89" spans="1:9" x14ac:dyDescent="0.3">
      <c r="A89" t="s">
        <v>165</v>
      </c>
      <c r="B89" t="s">
        <v>164</v>
      </c>
      <c r="C89">
        <f t="shared" si="1"/>
        <v>45658</v>
      </c>
      <c r="D89">
        <v>6100</v>
      </c>
      <c r="E89" t="str">
        <f>INDEX(Accounts!$B$2:$B$9,MATCH(D89,Accounts!$A$2:$A$9,0))</f>
        <v>Marketing Expense</v>
      </c>
      <c r="F89" t="str">
        <f>INDEX(Accounts!$C$2:$C$9,MATCH(D89,Accounts!$A$2:$A$9,0))</f>
        <v>Operating Expense</v>
      </c>
      <c r="G89" t="s">
        <v>41</v>
      </c>
      <c r="H89" t="s">
        <v>44</v>
      </c>
      <c r="I89">
        <v>8537</v>
      </c>
    </row>
    <row r="90" spans="1:9" x14ac:dyDescent="0.3">
      <c r="A90" t="s">
        <v>166</v>
      </c>
      <c r="B90" t="s">
        <v>167</v>
      </c>
      <c r="C90">
        <f t="shared" si="1"/>
        <v>45658</v>
      </c>
      <c r="D90">
        <v>6300</v>
      </c>
      <c r="E90" t="str">
        <f>INDEX(Accounts!$B$2:$B$9,MATCH(D90,Accounts!$A$2:$A$9,0))</f>
        <v>Logistics Expense</v>
      </c>
      <c r="F90" t="str">
        <f>INDEX(Accounts!$C$2:$C$9,MATCH(D90,Accounts!$A$2:$A$9,0))</f>
        <v>Operating Expense</v>
      </c>
      <c r="G90" t="s">
        <v>45</v>
      </c>
      <c r="H90" t="s">
        <v>42</v>
      </c>
      <c r="I90">
        <v>12938</v>
      </c>
    </row>
    <row r="91" spans="1:9" x14ac:dyDescent="0.3">
      <c r="A91" t="s">
        <v>168</v>
      </c>
      <c r="B91" t="s">
        <v>167</v>
      </c>
      <c r="C91">
        <f t="shared" si="1"/>
        <v>45658</v>
      </c>
      <c r="D91">
        <v>6300</v>
      </c>
      <c r="E91" t="str">
        <f>INDEX(Accounts!$B$2:$B$9,MATCH(D91,Accounts!$A$2:$A$9,0))</f>
        <v>Logistics Expense</v>
      </c>
      <c r="F91" t="str">
        <f>INDEX(Accounts!$C$2:$C$9,MATCH(D91,Accounts!$A$2:$A$9,0))</f>
        <v>Operating Expense</v>
      </c>
      <c r="G91" t="s">
        <v>43</v>
      </c>
      <c r="H91" t="s">
        <v>42</v>
      </c>
      <c r="I91">
        <v>12184</v>
      </c>
    </row>
    <row r="92" spans="1:9" x14ac:dyDescent="0.3">
      <c r="A92" t="s">
        <v>169</v>
      </c>
      <c r="B92" t="s">
        <v>167</v>
      </c>
      <c r="C92">
        <f t="shared" si="1"/>
        <v>45658</v>
      </c>
      <c r="D92">
        <v>4000</v>
      </c>
      <c r="E92" t="str">
        <f>INDEX(Accounts!$B$2:$B$9,MATCH(D92,Accounts!$A$2:$A$9,0))</f>
        <v>Product Sales</v>
      </c>
      <c r="F92" t="str">
        <f>INDEX(Accounts!$C$2:$C$9,MATCH(D92,Accounts!$A$2:$A$9,0))</f>
        <v>Revenue</v>
      </c>
      <c r="G92" t="s">
        <v>41</v>
      </c>
      <c r="H92" t="s">
        <v>42</v>
      </c>
      <c r="I92">
        <v>149554</v>
      </c>
    </row>
    <row r="93" spans="1:9" x14ac:dyDescent="0.3">
      <c r="A93" t="s">
        <v>170</v>
      </c>
      <c r="B93" t="s">
        <v>171</v>
      </c>
      <c r="C93">
        <f t="shared" si="1"/>
        <v>45658</v>
      </c>
      <c r="D93">
        <v>5000</v>
      </c>
      <c r="E93" t="str">
        <f>INDEX(Accounts!$B$2:$B$9,MATCH(D93,Accounts!$A$2:$A$9,0))</f>
        <v>Cost of Goods Sold</v>
      </c>
      <c r="F93" t="str">
        <f>INDEX(Accounts!$C$2:$C$9,MATCH(D93,Accounts!$A$2:$A$9,0))</f>
        <v>COGS</v>
      </c>
      <c r="G93" t="s">
        <v>43</v>
      </c>
      <c r="H93" t="s">
        <v>42</v>
      </c>
      <c r="I93">
        <v>51920</v>
      </c>
    </row>
    <row r="94" spans="1:9" x14ac:dyDescent="0.3">
      <c r="A94" t="s">
        <v>172</v>
      </c>
      <c r="B94" t="s">
        <v>171</v>
      </c>
      <c r="C94">
        <f t="shared" si="1"/>
        <v>45658</v>
      </c>
      <c r="D94">
        <v>4000</v>
      </c>
      <c r="E94" t="str">
        <f>INDEX(Accounts!$B$2:$B$9,MATCH(D94,Accounts!$A$2:$A$9,0))</f>
        <v>Product Sales</v>
      </c>
      <c r="F94" t="str">
        <f>INDEX(Accounts!$C$2:$C$9,MATCH(D94,Accounts!$A$2:$A$9,0))</f>
        <v>Revenue</v>
      </c>
      <c r="G94" t="s">
        <v>41</v>
      </c>
      <c r="H94" t="s">
        <v>44</v>
      </c>
      <c r="I94">
        <v>42350</v>
      </c>
    </row>
    <row r="95" spans="1:9" x14ac:dyDescent="0.3">
      <c r="A95" t="s">
        <v>173</v>
      </c>
      <c r="B95" t="s">
        <v>171</v>
      </c>
      <c r="C95">
        <f t="shared" si="1"/>
        <v>45658</v>
      </c>
      <c r="D95">
        <v>6400</v>
      </c>
      <c r="E95" t="str">
        <f>INDEX(Accounts!$B$2:$B$9,MATCH(D95,Accounts!$A$2:$A$9,0))</f>
        <v>Software &amp; Admin</v>
      </c>
      <c r="F95" t="str">
        <f>INDEX(Accounts!$C$2:$C$9,MATCH(D95,Accounts!$A$2:$A$9,0))</f>
        <v>Operating Expense</v>
      </c>
      <c r="G95" t="s">
        <v>41</v>
      </c>
      <c r="H95" t="s">
        <v>44</v>
      </c>
      <c r="I95">
        <v>4680</v>
      </c>
    </row>
    <row r="96" spans="1:9" x14ac:dyDescent="0.3">
      <c r="A96" t="s">
        <v>174</v>
      </c>
      <c r="B96" t="s">
        <v>175</v>
      </c>
      <c r="C96">
        <f t="shared" si="1"/>
        <v>45658</v>
      </c>
      <c r="D96">
        <v>6400</v>
      </c>
      <c r="E96" t="str">
        <f>INDEX(Accounts!$B$2:$B$9,MATCH(D96,Accounts!$A$2:$A$9,0))</f>
        <v>Software &amp; Admin</v>
      </c>
      <c r="F96" t="str">
        <f>INDEX(Accounts!$C$2:$C$9,MATCH(D96,Accounts!$A$2:$A$9,0))</f>
        <v>Operating Expense</v>
      </c>
      <c r="G96" t="s">
        <v>45</v>
      </c>
      <c r="H96" t="s">
        <v>42</v>
      </c>
      <c r="I96">
        <v>9797</v>
      </c>
    </row>
    <row r="97" spans="1:9" x14ac:dyDescent="0.3">
      <c r="A97" t="s">
        <v>176</v>
      </c>
      <c r="B97" t="s">
        <v>175</v>
      </c>
      <c r="C97">
        <f t="shared" si="1"/>
        <v>45658</v>
      </c>
      <c r="D97">
        <v>6100</v>
      </c>
      <c r="E97" t="str">
        <f>INDEX(Accounts!$B$2:$B$9,MATCH(D97,Accounts!$A$2:$A$9,0))</f>
        <v>Marketing Expense</v>
      </c>
      <c r="F97" t="str">
        <f>INDEX(Accounts!$C$2:$C$9,MATCH(D97,Accounts!$A$2:$A$9,0))</f>
        <v>Operating Expense</v>
      </c>
      <c r="G97" t="s">
        <v>45</v>
      </c>
      <c r="H97" t="s">
        <v>46</v>
      </c>
      <c r="I97">
        <v>3612</v>
      </c>
    </row>
    <row r="98" spans="1:9" x14ac:dyDescent="0.3">
      <c r="A98" t="s">
        <v>177</v>
      </c>
      <c r="B98" t="s">
        <v>175</v>
      </c>
      <c r="C98">
        <f t="shared" si="1"/>
        <v>45658</v>
      </c>
      <c r="D98">
        <v>4000</v>
      </c>
      <c r="E98" t="str">
        <f>INDEX(Accounts!$B$2:$B$9,MATCH(D98,Accounts!$A$2:$A$9,0))</f>
        <v>Product Sales</v>
      </c>
      <c r="F98" t="str">
        <f>INDEX(Accounts!$C$2:$C$9,MATCH(D98,Accounts!$A$2:$A$9,0))</f>
        <v>Revenue</v>
      </c>
      <c r="G98" t="s">
        <v>43</v>
      </c>
      <c r="H98" t="s">
        <v>42</v>
      </c>
      <c r="I98">
        <v>145665</v>
      </c>
    </row>
    <row r="99" spans="1:9" x14ac:dyDescent="0.3">
      <c r="A99" t="s">
        <v>178</v>
      </c>
      <c r="B99" t="s">
        <v>179</v>
      </c>
      <c r="C99">
        <f t="shared" si="1"/>
        <v>45658</v>
      </c>
      <c r="D99">
        <v>6300</v>
      </c>
      <c r="E99" t="str">
        <f>INDEX(Accounts!$B$2:$B$9,MATCH(D99,Accounts!$A$2:$A$9,0))</f>
        <v>Logistics Expense</v>
      </c>
      <c r="F99" t="str">
        <f>INDEX(Accounts!$C$2:$C$9,MATCH(D99,Accounts!$A$2:$A$9,0))</f>
        <v>Operating Expense</v>
      </c>
      <c r="G99" t="s">
        <v>43</v>
      </c>
      <c r="H99" t="s">
        <v>46</v>
      </c>
      <c r="I99">
        <v>2639</v>
      </c>
    </row>
    <row r="100" spans="1:9" x14ac:dyDescent="0.3">
      <c r="A100" t="s">
        <v>180</v>
      </c>
      <c r="B100" t="s">
        <v>179</v>
      </c>
      <c r="C100">
        <f t="shared" si="1"/>
        <v>45658</v>
      </c>
      <c r="D100">
        <v>6400</v>
      </c>
      <c r="E100" t="str">
        <f>INDEX(Accounts!$B$2:$B$9,MATCH(D100,Accounts!$A$2:$A$9,0))</f>
        <v>Software &amp; Admin</v>
      </c>
      <c r="F100" t="str">
        <f>INDEX(Accounts!$C$2:$C$9,MATCH(D100,Accounts!$A$2:$A$9,0))</f>
        <v>Operating Expense</v>
      </c>
      <c r="G100" t="s">
        <v>47</v>
      </c>
      <c r="H100" t="s">
        <v>42</v>
      </c>
      <c r="I100">
        <v>1949</v>
      </c>
    </row>
    <row r="101" spans="1:9" x14ac:dyDescent="0.3">
      <c r="A101" t="s">
        <v>181</v>
      </c>
      <c r="B101" t="s">
        <v>179</v>
      </c>
      <c r="C101">
        <f t="shared" si="1"/>
        <v>45658</v>
      </c>
      <c r="D101">
        <v>4000</v>
      </c>
      <c r="E101" t="str">
        <f>INDEX(Accounts!$B$2:$B$9,MATCH(D101,Accounts!$A$2:$A$9,0))</f>
        <v>Product Sales</v>
      </c>
      <c r="F101" t="str">
        <f>INDEX(Accounts!$C$2:$C$9,MATCH(D101,Accounts!$A$2:$A$9,0))</f>
        <v>Revenue</v>
      </c>
      <c r="G101" t="s">
        <v>41</v>
      </c>
      <c r="H101" t="s">
        <v>44</v>
      </c>
      <c r="I101">
        <v>167401</v>
      </c>
    </row>
    <row r="102" spans="1:9" x14ac:dyDescent="0.3">
      <c r="A102" t="s">
        <v>182</v>
      </c>
      <c r="B102" t="s">
        <v>179</v>
      </c>
      <c r="C102">
        <f t="shared" si="1"/>
        <v>45658</v>
      </c>
      <c r="D102">
        <v>5000</v>
      </c>
      <c r="E102" t="str">
        <f>INDEX(Accounts!$B$2:$B$9,MATCH(D102,Accounts!$A$2:$A$9,0))</f>
        <v>Cost of Goods Sold</v>
      </c>
      <c r="F102" t="str">
        <f>INDEX(Accounts!$C$2:$C$9,MATCH(D102,Accounts!$A$2:$A$9,0))</f>
        <v>COGS</v>
      </c>
      <c r="G102" t="s">
        <v>41</v>
      </c>
      <c r="H102" t="s">
        <v>44</v>
      </c>
      <c r="I102">
        <v>59274</v>
      </c>
    </row>
    <row r="103" spans="1:9" x14ac:dyDescent="0.3">
      <c r="A103" t="s">
        <v>183</v>
      </c>
      <c r="B103" t="s">
        <v>179</v>
      </c>
      <c r="C103">
        <f t="shared" si="1"/>
        <v>45658</v>
      </c>
      <c r="D103">
        <v>4100</v>
      </c>
      <c r="E103" t="str">
        <f>INDEX(Accounts!$B$2:$B$9,MATCH(D103,Accounts!$A$2:$A$9,0))</f>
        <v>Sales Returns &amp; Discounts</v>
      </c>
      <c r="F103" t="str">
        <f>INDEX(Accounts!$C$2:$C$9,MATCH(D103,Accounts!$A$2:$A$9,0))</f>
        <v>Contra Revenue</v>
      </c>
      <c r="G103" t="s">
        <v>41</v>
      </c>
      <c r="H103" t="s">
        <v>44</v>
      </c>
      <c r="I103">
        <v>6344</v>
      </c>
    </row>
    <row r="104" spans="1:9" x14ac:dyDescent="0.3">
      <c r="A104" t="s">
        <v>184</v>
      </c>
      <c r="B104" t="s">
        <v>179</v>
      </c>
      <c r="C104">
        <f t="shared" si="1"/>
        <v>45658</v>
      </c>
      <c r="D104">
        <v>6400</v>
      </c>
      <c r="E104" t="str">
        <f>INDEX(Accounts!$B$2:$B$9,MATCH(D104,Accounts!$A$2:$A$9,0))</f>
        <v>Software &amp; Admin</v>
      </c>
      <c r="F104" t="str">
        <f>INDEX(Accounts!$C$2:$C$9,MATCH(D104,Accounts!$A$2:$A$9,0))</f>
        <v>Operating Expense</v>
      </c>
      <c r="G104" t="s">
        <v>45</v>
      </c>
      <c r="H104" t="s">
        <v>46</v>
      </c>
      <c r="I104">
        <v>2389</v>
      </c>
    </row>
    <row r="105" spans="1:9" x14ac:dyDescent="0.3">
      <c r="A105" t="s">
        <v>185</v>
      </c>
      <c r="B105" t="s">
        <v>186</v>
      </c>
      <c r="C105">
        <f t="shared" si="1"/>
        <v>45658</v>
      </c>
      <c r="D105">
        <v>5000</v>
      </c>
      <c r="E105" t="str">
        <f>INDEX(Accounts!$B$2:$B$9,MATCH(D105,Accounts!$A$2:$A$9,0))</f>
        <v>Cost of Goods Sold</v>
      </c>
      <c r="F105" t="str">
        <f>INDEX(Accounts!$C$2:$C$9,MATCH(D105,Accounts!$A$2:$A$9,0))</f>
        <v>COGS</v>
      </c>
      <c r="G105" t="s">
        <v>43</v>
      </c>
      <c r="H105" t="s">
        <v>46</v>
      </c>
      <c r="I105">
        <v>48535</v>
      </c>
    </row>
    <row r="106" spans="1:9" x14ac:dyDescent="0.3">
      <c r="A106" t="s">
        <v>187</v>
      </c>
      <c r="B106" t="s">
        <v>186</v>
      </c>
      <c r="C106">
        <f t="shared" si="1"/>
        <v>45658</v>
      </c>
      <c r="D106">
        <v>6200</v>
      </c>
      <c r="E106" t="str">
        <f>INDEX(Accounts!$B$2:$B$9,MATCH(D106,Accounts!$A$2:$A$9,0))</f>
        <v>Rent &amp; Utilities</v>
      </c>
      <c r="F106" t="str">
        <f>INDEX(Accounts!$C$2:$C$9,MATCH(D106,Accounts!$A$2:$A$9,0))</f>
        <v>Operating Expense</v>
      </c>
      <c r="G106" t="s">
        <v>43</v>
      </c>
      <c r="H106" t="s">
        <v>44</v>
      </c>
      <c r="I106">
        <v>14412</v>
      </c>
    </row>
    <row r="107" spans="1:9" x14ac:dyDescent="0.3">
      <c r="A107" t="s">
        <v>188</v>
      </c>
      <c r="B107" t="s">
        <v>186</v>
      </c>
      <c r="C107">
        <f t="shared" si="1"/>
        <v>45658</v>
      </c>
      <c r="D107">
        <v>5000</v>
      </c>
      <c r="E107" t="str">
        <f>INDEX(Accounts!$B$2:$B$9,MATCH(D107,Accounts!$A$2:$A$9,0))</f>
        <v>Cost of Goods Sold</v>
      </c>
      <c r="F107" t="str">
        <f>INDEX(Accounts!$C$2:$C$9,MATCH(D107,Accounts!$A$2:$A$9,0))</f>
        <v>COGS</v>
      </c>
      <c r="G107" t="s">
        <v>45</v>
      </c>
      <c r="H107" t="s">
        <v>46</v>
      </c>
      <c r="I107">
        <v>61133</v>
      </c>
    </row>
    <row r="108" spans="1:9" x14ac:dyDescent="0.3">
      <c r="A108" t="s">
        <v>189</v>
      </c>
      <c r="B108" t="s">
        <v>186</v>
      </c>
      <c r="C108">
        <f t="shared" si="1"/>
        <v>45658</v>
      </c>
      <c r="D108">
        <v>5000</v>
      </c>
      <c r="E108" t="str">
        <f>INDEX(Accounts!$B$2:$B$9,MATCH(D108,Accounts!$A$2:$A$9,0))</f>
        <v>Cost of Goods Sold</v>
      </c>
      <c r="F108" t="str">
        <f>INDEX(Accounts!$C$2:$C$9,MATCH(D108,Accounts!$A$2:$A$9,0))</f>
        <v>COGS</v>
      </c>
      <c r="G108" t="s">
        <v>41</v>
      </c>
      <c r="H108" t="s">
        <v>42</v>
      </c>
      <c r="I108">
        <v>55169</v>
      </c>
    </row>
    <row r="109" spans="1:9" x14ac:dyDescent="0.3">
      <c r="A109" t="s">
        <v>190</v>
      </c>
      <c r="B109" t="s">
        <v>191</v>
      </c>
      <c r="C109">
        <f t="shared" si="1"/>
        <v>45658</v>
      </c>
      <c r="D109">
        <v>6100</v>
      </c>
      <c r="E109" t="str">
        <f>INDEX(Accounts!$B$2:$B$9,MATCH(D109,Accounts!$A$2:$A$9,0))</f>
        <v>Marketing Expense</v>
      </c>
      <c r="F109" t="str">
        <f>INDEX(Accounts!$C$2:$C$9,MATCH(D109,Accounts!$A$2:$A$9,0))</f>
        <v>Operating Expense</v>
      </c>
      <c r="G109" t="s">
        <v>47</v>
      </c>
      <c r="H109" t="s">
        <v>46</v>
      </c>
      <c r="I109">
        <v>13770</v>
      </c>
    </row>
    <row r="110" spans="1:9" x14ac:dyDescent="0.3">
      <c r="A110" t="s">
        <v>192</v>
      </c>
      <c r="B110" t="s">
        <v>191</v>
      </c>
      <c r="C110">
        <f t="shared" si="1"/>
        <v>45658</v>
      </c>
      <c r="D110">
        <v>6300</v>
      </c>
      <c r="E110" t="str">
        <f>INDEX(Accounts!$B$2:$B$9,MATCH(D110,Accounts!$A$2:$A$9,0))</f>
        <v>Logistics Expense</v>
      </c>
      <c r="F110" t="str">
        <f>INDEX(Accounts!$C$2:$C$9,MATCH(D110,Accounts!$A$2:$A$9,0))</f>
        <v>Operating Expense</v>
      </c>
      <c r="G110" t="s">
        <v>41</v>
      </c>
      <c r="H110" t="s">
        <v>46</v>
      </c>
      <c r="I110">
        <v>2151</v>
      </c>
    </row>
    <row r="111" spans="1:9" x14ac:dyDescent="0.3">
      <c r="A111" t="s">
        <v>193</v>
      </c>
      <c r="B111" t="s">
        <v>191</v>
      </c>
      <c r="C111">
        <f t="shared" si="1"/>
        <v>45658</v>
      </c>
      <c r="D111">
        <v>6300</v>
      </c>
      <c r="E111" t="str">
        <f>INDEX(Accounts!$B$2:$B$9,MATCH(D111,Accounts!$A$2:$A$9,0))</f>
        <v>Logistics Expense</v>
      </c>
      <c r="F111" t="str">
        <f>INDEX(Accounts!$C$2:$C$9,MATCH(D111,Accounts!$A$2:$A$9,0))</f>
        <v>Operating Expense</v>
      </c>
      <c r="G111" t="s">
        <v>41</v>
      </c>
      <c r="H111" t="s">
        <v>42</v>
      </c>
      <c r="I111">
        <v>13663</v>
      </c>
    </row>
    <row r="112" spans="1:9" x14ac:dyDescent="0.3">
      <c r="A112" t="s">
        <v>194</v>
      </c>
      <c r="B112" t="s">
        <v>195</v>
      </c>
      <c r="C112">
        <f t="shared" si="1"/>
        <v>45689</v>
      </c>
      <c r="D112">
        <v>6300</v>
      </c>
      <c r="E112" t="str">
        <f>INDEX(Accounts!$B$2:$B$9,MATCH(D112,Accounts!$A$2:$A$9,0))</f>
        <v>Logistics Expense</v>
      </c>
      <c r="F112" t="str">
        <f>INDEX(Accounts!$C$2:$C$9,MATCH(D112,Accounts!$A$2:$A$9,0))</f>
        <v>Operating Expense</v>
      </c>
      <c r="G112" t="s">
        <v>45</v>
      </c>
      <c r="H112" t="s">
        <v>44</v>
      </c>
      <c r="I112">
        <v>9314</v>
      </c>
    </row>
    <row r="113" spans="1:9" x14ac:dyDescent="0.3">
      <c r="A113" t="s">
        <v>196</v>
      </c>
      <c r="B113" t="s">
        <v>195</v>
      </c>
      <c r="C113">
        <f t="shared" si="1"/>
        <v>45689</v>
      </c>
      <c r="D113">
        <v>6400</v>
      </c>
      <c r="E113" t="str">
        <f>INDEX(Accounts!$B$2:$B$9,MATCH(D113,Accounts!$A$2:$A$9,0))</f>
        <v>Software &amp; Admin</v>
      </c>
      <c r="F113" t="str">
        <f>INDEX(Accounts!$C$2:$C$9,MATCH(D113,Accounts!$A$2:$A$9,0))</f>
        <v>Operating Expense</v>
      </c>
      <c r="G113" t="s">
        <v>41</v>
      </c>
      <c r="H113" t="s">
        <v>44</v>
      </c>
      <c r="I113">
        <v>7865</v>
      </c>
    </row>
    <row r="114" spans="1:9" x14ac:dyDescent="0.3">
      <c r="A114" t="s">
        <v>197</v>
      </c>
      <c r="B114" t="s">
        <v>195</v>
      </c>
      <c r="C114">
        <f t="shared" si="1"/>
        <v>45689</v>
      </c>
      <c r="D114">
        <v>6300</v>
      </c>
      <c r="E114" t="str">
        <f>INDEX(Accounts!$B$2:$B$9,MATCH(D114,Accounts!$A$2:$A$9,0))</f>
        <v>Logistics Expense</v>
      </c>
      <c r="F114" t="str">
        <f>INDEX(Accounts!$C$2:$C$9,MATCH(D114,Accounts!$A$2:$A$9,0))</f>
        <v>Operating Expense</v>
      </c>
      <c r="G114" t="s">
        <v>43</v>
      </c>
      <c r="H114" t="s">
        <v>46</v>
      </c>
      <c r="I114">
        <v>1944</v>
      </c>
    </row>
    <row r="115" spans="1:9" x14ac:dyDescent="0.3">
      <c r="A115" t="s">
        <v>198</v>
      </c>
      <c r="B115" t="s">
        <v>195</v>
      </c>
      <c r="C115">
        <f t="shared" si="1"/>
        <v>45689</v>
      </c>
      <c r="D115">
        <v>5000</v>
      </c>
      <c r="E115" t="str">
        <f>INDEX(Accounts!$B$2:$B$9,MATCH(D115,Accounts!$A$2:$A$9,0))</f>
        <v>Cost of Goods Sold</v>
      </c>
      <c r="F115" t="str">
        <f>INDEX(Accounts!$C$2:$C$9,MATCH(D115,Accounts!$A$2:$A$9,0))</f>
        <v>COGS</v>
      </c>
      <c r="G115" t="s">
        <v>43</v>
      </c>
      <c r="H115" t="s">
        <v>44</v>
      </c>
      <c r="I115">
        <v>21901</v>
      </c>
    </row>
    <row r="116" spans="1:9" x14ac:dyDescent="0.3">
      <c r="A116" t="s">
        <v>199</v>
      </c>
      <c r="B116" t="s">
        <v>195</v>
      </c>
      <c r="C116">
        <f t="shared" si="1"/>
        <v>45689</v>
      </c>
      <c r="D116">
        <v>6000</v>
      </c>
      <c r="E116" t="str">
        <f>INDEX(Accounts!$B$2:$B$9,MATCH(D116,Accounts!$A$2:$A$9,0))</f>
        <v>Salaries &amp; Wages</v>
      </c>
      <c r="F116" t="str">
        <f>INDEX(Accounts!$C$2:$C$9,MATCH(D116,Accounts!$A$2:$A$9,0))</f>
        <v>Operating Expense</v>
      </c>
      <c r="G116" t="s">
        <v>41</v>
      </c>
      <c r="H116" t="s">
        <v>42</v>
      </c>
      <c r="I116">
        <v>20120</v>
      </c>
    </row>
    <row r="117" spans="1:9" x14ac:dyDescent="0.3">
      <c r="A117" t="s">
        <v>200</v>
      </c>
      <c r="B117" t="s">
        <v>201</v>
      </c>
      <c r="C117">
        <f t="shared" si="1"/>
        <v>45689</v>
      </c>
      <c r="D117">
        <v>6000</v>
      </c>
      <c r="E117" t="str">
        <f>INDEX(Accounts!$B$2:$B$9,MATCH(D117,Accounts!$A$2:$A$9,0))</f>
        <v>Salaries &amp; Wages</v>
      </c>
      <c r="F117" t="str">
        <f>INDEX(Accounts!$C$2:$C$9,MATCH(D117,Accounts!$A$2:$A$9,0))</f>
        <v>Operating Expense</v>
      </c>
      <c r="G117" t="s">
        <v>48</v>
      </c>
      <c r="H117" t="s">
        <v>42</v>
      </c>
      <c r="I117">
        <v>19957</v>
      </c>
    </row>
    <row r="118" spans="1:9" x14ac:dyDescent="0.3">
      <c r="A118" t="s">
        <v>202</v>
      </c>
      <c r="B118" t="s">
        <v>201</v>
      </c>
      <c r="C118">
        <f t="shared" si="1"/>
        <v>45689</v>
      </c>
      <c r="D118">
        <v>4000</v>
      </c>
      <c r="E118" t="str">
        <f>INDEX(Accounts!$B$2:$B$9,MATCH(D118,Accounts!$A$2:$A$9,0))</f>
        <v>Product Sales</v>
      </c>
      <c r="F118" t="str">
        <f>INDEX(Accounts!$C$2:$C$9,MATCH(D118,Accounts!$A$2:$A$9,0))</f>
        <v>Revenue</v>
      </c>
      <c r="G118" t="s">
        <v>43</v>
      </c>
      <c r="H118" t="s">
        <v>44</v>
      </c>
      <c r="I118">
        <v>110680</v>
      </c>
    </row>
    <row r="119" spans="1:9" x14ac:dyDescent="0.3">
      <c r="A119" t="s">
        <v>203</v>
      </c>
      <c r="B119" t="s">
        <v>201</v>
      </c>
      <c r="C119">
        <f t="shared" si="1"/>
        <v>45689</v>
      </c>
      <c r="D119">
        <v>5000</v>
      </c>
      <c r="E119" t="str">
        <f>INDEX(Accounts!$B$2:$B$9,MATCH(D119,Accounts!$A$2:$A$9,0))</f>
        <v>Cost of Goods Sold</v>
      </c>
      <c r="F119" t="str">
        <f>INDEX(Accounts!$C$2:$C$9,MATCH(D119,Accounts!$A$2:$A$9,0))</f>
        <v>COGS</v>
      </c>
      <c r="G119" t="s">
        <v>43</v>
      </c>
      <c r="H119" t="s">
        <v>44</v>
      </c>
      <c r="I119">
        <v>12519</v>
      </c>
    </row>
    <row r="120" spans="1:9" x14ac:dyDescent="0.3">
      <c r="A120" t="s">
        <v>204</v>
      </c>
      <c r="B120" t="s">
        <v>201</v>
      </c>
      <c r="C120">
        <f t="shared" si="1"/>
        <v>45689</v>
      </c>
      <c r="D120">
        <v>6000</v>
      </c>
      <c r="E120" t="str">
        <f>INDEX(Accounts!$B$2:$B$9,MATCH(D120,Accounts!$A$2:$A$9,0))</f>
        <v>Salaries &amp; Wages</v>
      </c>
      <c r="F120" t="str">
        <f>INDEX(Accounts!$C$2:$C$9,MATCH(D120,Accounts!$A$2:$A$9,0))</f>
        <v>Operating Expense</v>
      </c>
      <c r="G120" t="s">
        <v>45</v>
      </c>
      <c r="H120" t="s">
        <v>42</v>
      </c>
      <c r="I120">
        <v>25496</v>
      </c>
    </row>
    <row r="121" spans="1:9" x14ac:dyDescent="0.3">
      <c r="A121" t="s">
        <v>205</v>
      </c>
      <c r="B121" t="s">
        <v>201</v>
      </c>
      <c r="C121">
        <f t="shared" si="1"/>
        <v>45689</v>
      </c>
      <c r="D121">
        <v>4000</v>
      </c>
      <c r="E121" t="str">
        <f>INDEX(Accounts!$B$2:$B$9,MATCH(D121,Accounts!$A$2:$A$9,0))</f>
        <v>Product Sales</v>
      </c>
      <c r="F121" t="str">
        <f>INDEX(Accounts!$C$2:$C$9,MATCH(D121,Accounts!$A$2:$A$9,0))</f>
        <v>Revenue</v>
      </c>
      <c r="G121" t="s">
        <v>41</v>
      </c>
      <c r="H121" t="s">
        <v>46</v>
      </c>
      <c r="I121">
        <v>174214</v>
      </c>
    </row>
    <row r="122" spans="1:9" x14ac:dyDescent="0.3">
      <c r="A122" t="s">
        <v>206</v>
      </c>
      <c r="B122" t="s">
        <v>201</v>
      </c>
      <c r="C122">
        <f t="shared" si="1"/>
        <v>45689</v>
      </c>
      <c r="D122">
        <v>4000</v>
      </c>
      <c r="E122" t="str">
        <f>INDEX(Accounts!$B$2:$B$9,MATCH(D122,Accounts!$A$2:$A$9,0))</f>
        <v>Product Sales</v>
      </c>
      <c r="F122" t="str">
        <f>INDEX(Accounts!$C$2:$C$9,MATCH(D122,Accounts!$A$2:$A$9,0))</f>
        <v>Revenue</v>
      </c>
      <c r="G122" t="s">
        <v>48</v>
      </c>
      <c r="H122" t="s">
        <v>44</v>
      </c>
      <c r="I122">
        <v>51309</v>
      </c>
    </row>
    <row r="123" spans="1:9" x14ac:dyDescent="0.3">
      <c r="A123" t="s">
        <v>207</v>
      </c>
      <c r="B123" t="s">
        <v>208</v>
      </c>
      <c r="C123">
        <f t="shared" si="1"/>
        <v>45689</v>
      </c>
      <c r="D123">
        <v>6000</v>
      </c>
      <c r="E123" t="str">
        <f>INDEX(Accounts!$B$2:$B$9,MATCH(D123,Accounts!$A$2:$A$9,0))</f>
        <v>Salaries &amp; Wages</v>
      </c>
      <c r="F123" t="str">
        <f>INDEX(Accounts!$C$2:$C$9,MATCH(D123,Accounts!$A$2:$A$9,0))</f>
        <v>Operating Expense</v>
      </c>
      <c r="G123" t="s">
        <v>41</v>
      </c>
      <c r="H123" t="s">
        <v>44</v>
      </c>
      <c r="I123">
        <v>10954</v>
      </c>
    </row>
    <row r="124" spans="1:9" x14ac:dyDescent="0.3">
      <c r="A124" t="s">
        <v>209</v>
      </c>
      <c r="B124" t="s">
        <v>208</v>
      </c>
      <c r="C124">
        <f t="shared" si="1"/>
        <v>45689</v>
      </c>
      <c r="D124">
        <v>6000</v>
      </c>
      <c r="E124" t="str">
        <f>INDEX(Accounts!$B$2:$B$9,MATCH(D124,Accounts!$A$2:$A$9,0))</f>
        <v>Salaries &amp; Wages</v>
      </c>
      <c r="F124" t="str">
        <f>INDEX(Accounts!$C$2:$C$9,MATCH(D124,Accounts!$A$2:$A$9,0))</f>
        <v>Operating Expense</v>
      </c>
      <c r="G124" t="s">
        <v>48</v>
      </c>
      <c r="H124" t="s">
        <v>46</v>
      </c>
      <c r="I124">
        <v>24326</v>
      </c>
    </row>
    <row r="125" spans="1:9" x14ac:dyDescent="0.3">
      <c r="A125" t="s">
        <v>210</v>
      </c>
      <c r="B125" t="s">
        <v>208</v>
      </c>
      <c r="C125">
        <f t="shared" si="1"/>
        <v>45689</v>
      </c>
      <c r="D125">
        <v>6000</v>
      </c>
      <c r="E125" t="str">
        <f>INDEX(Accounts!$B$2:$B$9,MATCH(D125,Accounts!$A$2:$A$9,0))</f>
        <v>Salaries &amp; Wages</v>
      </c>
      <c r="F125" t="str">
        <f>INDEX(Accounts!$C$2:$C$9,MATCH(D125,Accounts!$A$2:$A$9,0))</f>
        <v>Operating Expense</v>
      </c>
      <c r="G125" t="s">
        <v>47</v>
      </c>
      <c r="H125" t="s">
        <v>46</v>
      </c>
      <c r="I125">
        <v>15561</v>
      </c>
    </row>
    <row r="126" spans="1:9" x14ac:dyDescent="0.3">
      <c r="A126" t="s">
        <v>211</v>
      </c>
      <c r="B126" t="s">
        <v>212</v>
      </c>
      <c r="C126">
        <f t="shared" si="1"/>
        <v>45689</v>
      </c>
      <c r="D126">
        <v>6000</v>
      </c>
      <c r="E126" t="str">
        <f>INDEX(Accounts!$B$2:$B$9,MATCH(D126,Accounts!$A$2:$A$9,0))</f>
        <v>Salaries &amp; Wages</v>
      </c>
      <c r="F126" t="str">
        <f>INDEX(Accounts!$C$2:$C$9,MATCH(D126,Accounts!$A$2:$A$9,0))</f>
        <v>Operating Expense</v>
      </c>
      <c r="G126" t="s">
        <v>48</v>
      </c>
      <c r="H126" t="s">
        <v>46</v>
      </c>
      <c r="I126">
        <v>27195</v>
      </c>
    </row>
    <row r="127" spans="1:9" x14ac:dyDescent="0.3">
      <c r="A127" t="s">
        <v>213</v>
      </c>
      <c r="B127" t="s">
        <v>212</v>
      </c>
      <c r="C127">
        <f t="shared" si="1"/>
        <v>45689</v>
      </c>
      <c r="D127">
        <v>6000</v>
      </c>
      <c r="E127" t="str">
        <f>INDEX(Accounts!$B$2:$B$9,MATCH(D127,Accounts!$A$2:$A$9,0))</f>
        <v>Salaries &amp; Wages</v>
      </c>
      <c r="F127" t="str">
        <f>INDEX(Accounts!$C$2:$C$9,MATCH(D127,Accounts!$A$2:$A$9,0))</f>
        <v>Operating Expense</v>
      </c>
      <c r="G127" t="s">
        <v>41</v>
      </c>
      <c r="H127" t="s">
        <v>46</v>
      </c>
      <c r="I127">
        <v>14563</v>
      </c>
    </row>
    <row r="128" spans="1:9" x14ac:dyDescent="0.3">
      <c r="A128" t="s">
        <v>214</v>
      </c>
      <c r="B128" t="s">
        <v>215</v>
      </c>
      <c r="C128">
        <f t="shared" si="1"/>
        <v>45689</v>
      </c>
      <c r="D128">
        <v>6200</v>
      </c>
      <c r="E128" t="str">
        <f>INDEX(Accounts!$B$2:$B$9,MATCH(D128,Accounts!$A$2:$A$9,0))</f>
        <v>Rent &amp; Utilities</v>
      </c>
      <c r="F128" t="str">
        <f>INDEX(Accounts!$C$2:$C$9,MATCH(D128,Accounts!$A$2:$A$9,0))</f>
        <v>Operating Expense</v>
      </c>
      <c r="G128" t="s">
        <v>45</v>
      </c>
      <c r="H128" t="s">
        <v>46</v>
      </c>
      <c r="I128">
        <v>12755</v>
      </c>
    </row>
    <row r="129" spans="1:9" x14ac:dyDescent="0.3">
      <c r="A129" t="s">
        <v>216</v>
      </c>
      <c r="B129" t="s">
        <v>215</v>
      </c>
      <c r="C129">
        <f t="shared" si="1"/>
        <v>45689</v>
      </c>
      <c r="D129">
        <v>4000</v>
      </c>
      <c r="E129" t="str">
        <f>INDEX(Accounts!$B$2:$B$9,MATCH(D129,Accounts!$A$2:$A$9,0))</f>
        <v>Product Sales</v>
      </c>
      <c r="F129" t="str">
        <f>INDEX(Accounts!$C$2:$C$9,MATCH(D129,Accounts!$A$2:$A$9,0))</f>
        <v>Revenue</v>
      </c>
      <c r="G129" t="s">
        <v>43</v>
      </c>
      <c r="H129" t="s">
        <v>44</v>
      </c>
      <c r="I129">
        <v>47329</v>
      </c>
    </row>
    <row r="130" spans="1:9" x14ac:dyDescent="0.3">
      <c r="A130" t="s">
        <v>217</v>
      </c>
      <c r="B130" t="s">
        <v>218</v>
      </c>
      <c r="C130">
        <f t="shared" ref="C130:C193" si="2">DATE(YEAR(B130),MONTH(B130),1)</f>
        <v>45689</v>
      </c>
      <c r="D130">
        <v>6200</v>
      </c>
      <c r="E130" t="str">
        <f>INDEX(Accounts!$B$2:$B$9,MATCH(D130,Accounts!$A$2:$A$9,0))</f>
        <v>Rent &amp; Utilities</v>
      </c>
      <c r="F130" t="str">
        <f>INDEX(Accounts!$C$2:$C$9,MATCH(D130,Accounts!$A$2:$A$9,0))</f>
        <v>Operating Expense</v>
      </c>
      <c r="G130" t="s">
        <v>48</v>
      </c>
      <c r="H130" t="s">
        <v>46</v>
      </c>
      <c r="I130">
        <v>11751</v>
      </c>
    </row>
    <row r="131" spans="1:9" x14ac:dyDescent="0.3">
      <c r="A131" t="s">
        <v>219</v>
      </c>
      <c r="B131" t="s">
        <v>220</v>
      </c>
      <c r="C131">
        <f t="shared" si="2"/>
        <v>45689</v>
      </c>
      <c r="D131">
        <v>6100</v>
      </c>
      <c r="E131" t="str">
        <f>INDEX(Accounts!$B$2:$B$9,MATCH(D131,Accounts!$A$2:$A$9,0))</f>
        <v>Marketing Expense</v>
      </c>
      <c r="F131" t="str">
        <f>INDEX(Accounts!$C$2:$C$9,MATCH(D131,Accounts!$A$2:$A$9,0))</f>
        <v>Operating Expense</v>
      </c>
      <c r="G131" t="s">
        <v>41</v>
      </c>
      <c r="H131" t="s">
        <v>46</v>
      </c>
      <c r="I131">
        <v>18000</v>
      </c>
    </row>
    <row r="132" spans="1:9" x14ac:dyDescent="0.3">
      <c r="A132" t="s">
        <v>221</v>
      </c>
      <c r="B132" t="s">
        <v>220</v>
      </c>
      <c r="C132">
        <f t="shared" si="2"/>
        <v>45689</v>
      </c>
      <c r="D132">
        <v>4100</v>
      </c>
      <c r="E132" t="str">
        <f>INDEX(Accounts!$B$2:$B$9,MATCH(D132,Accounts!$A$2:$A$9,0))</f>
        <v>Sales Returns &amp; Discounts</v>
      </c>
      <c r="F132" t="str">
        <f>INDEX(Accounts!$C$2:$C$9,MATCH(D132,Accounts!$A$2:$A$9,0))</f>
        <v>Contra Revenue</v>
      </c>
      <c r="G132" t="s">
        <v>43</v>
      </c>
      <c r="H132" t="s">
        <v>44</v>
      </c>
      <c r="I132">
        <v>1231</v>
      </c>
    </row>
    <row r="133" spans="1:9" x14ac:dyDescent="0.3">
      <c r="A133" t="s">
        <v>222</v>
      </c>
      <c r="B133" t="s">
        <v>220</v>
      </c>
      <c r="C133">
        <f t="shared" si="2"/>
        <v>45689</v>
      </c>
      <c r="D133">
        <v>4000</v>
      </c>
      <c r="E133" t="str">
        <f>INDEX(Accounts!$B$2:$B$9,MATCH(D133,Accounts!$A$2:$A$9,0))</f>
        <v>Product Sales</v>
      </c>
      <c r="F133" t="str">
        <f>INDEX(Accounts!$C$2:$C$9,MATCH(D133,Accounts!$A$2:$A$9,0))</f>
        <v>Revenue</v>
      </c>
      <c r="G133" t="s">
        <v>41</v>
      </c>
      <c r="H133" t="s">
        <v>42</v>
      </c>
      <c r="I133">
        <v>70564</v>
      </c>
    </row>
    <row r="134" spans="1:9" x14ac:dyDescent="0.3">
      <c r="A134" t="s">
        <v>223</v>
      </c>
      <c r="B134" t="s">
        <v>224</v>
      </c>
      <c r="C134">
        <f t="shared" si="2"/>
        <v>45689</v>
      </c>
      <c r="D134">
        <v>4000</v>
      </c>
      <c r="E134" t="str">
        <f>INDEX(Accounts!$B$2:$B$9,MATCH(D134,Accounts!$A$2:$A$9,0))</f>
        <v>Product Sales</v>
      </c>
      <c r="F134" t="str">
        <f>INDEX(Accounts!$C$2:$C$9,MATCH(D134,Accounts!$A$2:$A$9,0))</f>
        <v>Revenue</v>
      </c>
      <c r="G134" t="s">
        <v>45</v>
      </c>
      <c r="H134" t="s">
        <v>42</v>
      </c>
      <c r="I134">
        <v>136449</v>
      </c>
    </row>
    <row r="135" spans="1:9" x14ac:dyDescent="0.3">
      <c r="A135" t="s">
        <v>225</v>
      </c>
      <c r="B135" t="s">
        <v>224</v>
      </c>
      <c r="C135">
        <f t="shared" si="2"/>
        <v>45689</v>
      </c>
      <c r="D135">
        <v>4000</v>
      </c>
      <c r="E135" t="str">
        <f>INDEX(Accounts!$B$2:$B$9,MATCH(D135,Accounts!$A$2:$A$9,0))</f>
        <v>Product Sales</v>
      </c>
      <c r="F135" t="str">
        <f>INDEX(Accounts!$C$2:$C$9,MATCH(D135,Accounts!$A$2:$A$9,0))</f>
        <v>Revenue</v>
      </c>
      <c r="G135" t="s">
        <v>48</v>
      </c>
      <c r="H135" t="s">
        <v>46</v>
      </c>
      <c r="I135">
        <v>146778</v>
      </c>
    </row>
    <row r="136" spans="1:9" x14ac:dyDescent="0.3">
      <c r="A136" t="s">
        <v>226</v>
      </c>
      <c r="B136" t="s">
        <v>224</v>
      </c>
      <c r="C136">
        <f t="shared" si="2"/>
        <v>45689</v>
      </c>
      <c r="D136">
        <v>5000</v>
      </c>
      <c r="E136" t="str">
        <f>INDEX(Accounts!$B$2:$B$9,MATCH(D136,Accounts!$A$2:$A$9,0))</f>
        <v>Cost of Goods Sold</v>
      </c>
      <c r="F136" t="str">
        <f>INDEX(Accounts!$C$2:$C$9,MATCH(D136,Accounts!$A$2:$A$9,0))</f>
        <v>COGS</v>
      </c>
      <c r="G136" t="s">
        <v>41</v>
      </c>
      <c r="H136" t="s">
        <v>44</v>
      </c>
      <c r="I136">
        <v>9902</v>
      </c>
    </row>
    <row r="137" spans="1:9" x14ac:dyDescent="0.3">
      <c r="A137" t="s">
        <v>227</v>
      </c>
      <c r="B137" t="s">
        <v>224</v>
      </c>
      <c r="C137">
        <f t="shared" si="2"/>
        <v>45689</v>
      </c>
      <c r="D137">
        <v>4000</v>
      </c>
      <c r="E137" t="str">
        <f>INDEX(Accounts!$B$2:$B$9,MATCH(D137,Accounts!$A$2:$A$9,0))</f>
        <v>Product Sales</v>
      </c>
      <c r="F137" t="str">
        <f>INDEX(Accounts!$C$2:$C$9,MATCH(D137,Accounts!$A$2:$A$9,0))</f>
        <v>Revenue</v>
      </c>
      <c r="G137" t="s">
        <v>45</v>
      </c>
      <c r="H137" t="s">
        <v>46</v>
      </c>
      <c r="I137">
        <v>82138</v>
      </c>
    </row>
    <row r="138" spans="1:9" x14ac:dyDescent="0.3">
      <c r="A138" t="s">
        <v>228</v>
      </c>
      <c r="B138" t="s">
        <v>224</v>
      </c>
      <c r="C138">
        <f t="shared" si="2"/>
        <v>45689</v>
      </c>
      <c r="D138">
        <v>6100</v>
      </c>
      <c r="E138" t="str">
        <f>INDEX(Accounts!$B$2:$B$9,MATCH(D138,Accounts!$A$2:$A$9,0))</f>
        <v>Marketing Expense</v>
      </c>
      <c r="F138" t="str">
        <f>INDEX(Accounts!$C$2:$C$9,MATCH(D138,Accounts!$A$2:$A$9,0))</f>
        <v>Operating Expense</v>
      </c>
      <c r="G138" t="s">
        <v>43</v>
      </c>
      <c r="H138" t="s">
        <v>42</v>
      </c>
      <c r="I138">
        <v>13314</v>
      </c>
    </row>
    <row r="139" spans="1:9" x14ac:dyDescent="0.3">
      <c r="A139" t="s">
        <v>229</v>
      </c>
      <c r="B139" t="s">
        <v>224</v>
      </c>
      <c r="C139">
        <f t="shared" si="2"/>
        <v>45689</v>
      </c>
      <c r="D139">
        <v>4000</v>
      </c>
      <c r="E139" t="str">
        <f>INDEX(Accounts!$B$2:$B$9,MATCH(D139,Accounts!$A$2:$A$9,0))</f>
        <v>Product Sales</v>
      </c>
      <c r="F139" t="str">
        <f>INDEX(Accounts!$C$2:$C$9,MATCH(D139,Accounts!$A$2:$A$9,0))</f>
        <v>Revenue</v>
      </c>
      <c r="G139" t="s">
        <v>45</v>
      </c>
      <c r="H139" t="s">
        <v>46</v>
      </c>
      <c r="I139">
        <v>84162</v>
      </c>
    </row>
    <row r="140" spans="1:9" x14ac:dyDescent="0.3">
      <c r="A140" t="s">
        <v>230</v>
      </c>
      <c r="B140" t="s">
        <v>224</v>
      </c>
      <c r="C140">
        <f t="shared" si="2"/>
        <v>45689</v>
      </c>
      <c r="D140">
        <v>6000</v>
      </c>
      <c r="E140" t="str">
        <f>INDEX(Accounts!$B$2:$B$9,MATCH(D140,Accounts!$A$2:$A$9,0))</f>
        <v>Salaries &amp; Wages</v>
      </c>
      <c r="F140" t="str">
        <f>INDEX(Accounts!$C$2:$C$9,MATCH(D140,Accounts!$A$2:$A$9,0))</f>
        <v>Operating Expense</v>
      </c>
      <c r="G140" t="s">
        <v>48</v>
      </c>
      <c r="H140" t="s">
        <v>42</v>
      </c>
      <c r="I140">
        <v>7339</v>
      </c>
    </row>
    <row r="141" spans="1:9" x14ac:dyDescent="0.3">
      <c r="A141" t="s">
        <v>231</v>
      </c>
      <c r="B141" t="s">
        <v>224</v>
      </c>
      <c r="C141">
        <f t="shared" si="2"/>
        <v>45689</v>
      </c>
      <c r="D141">
        <v>5000</v>
      </c>
      <c r="E141" t="str">
        <f>INDEX(Accounts!$B$2:$B$9,MATCH(D141,Accounts!$A$2:$A$9,0))</f>
        <v>Cost of Goods Sold</v>
      </c>
      <c r="F141" t="str">
        <f>INDEX(Accounts!$C$2:$C$9,MATCH(D141,Accounts!$A$2:$A$9,0))</f>
        <v>COGS</v>
      </c>
      <c r="G141" t="s">
        <v>41</v>
      </c>
      <c r="H141" t="s">
        <v>42</v>
      </c>
      <c r="I141">
        <v>68415</v>
      </c>
    </row>
    <row r="142" spans="1:9" x14ac:dyDescent="0.3">
      <c r="A142" t="s">
        <v>232</v>
      </c>
      <c r="B142" t="s">
        <v>233</v>
      </c>
      <c r="C142">
        <f t="shared" si="2"/>
        <v>45689</v>
      </c>
      <c r="D142">
        <v>6000</v>
      </c>
      <c r="E142" t="str">
        <f>INDEX(Accounts!$B$2:$B$9,MATCH(D142,Accounts!$A$2:$A$9,0))</f>
        <v>Salaries &amp; Wages</v>
      </c>
      <c r="F142" t="str">
        <f>INDEX(Accounts!$C$2:$C$9,MATCH(D142,Accounts!$A$2:$A$9,0))</f>
        <v>Operating Expense</v>
      </c>
      <c r="G142" t="s">
        <v>43</v>
      </c>
      <c r="H142" t="s">
        <v>42</v>
      </c>
      <c r="I142">
        <v>7805</v>
      </c>
    </row>
    <row r="143" spans="1:9" x14ac:dyDescent="0.3">
      <c r="A143" t="s">
        <v>234</v>
      </c>
      <c r="B143" t="s">
        <v>233</v>
      </c>
      <c r="C143">
        <f t="shared" si="2"/>
        <v>45689</v>
      </c>
      <c r="D143">
        <v>4000</v>
      </c>
      <c r="E143" t="str">
        <f>INDEX(Accounts!$B$2:$B$9,MATCH(D143,Accounts!$A$2:$A$9,0))</f>
        <v>Product Sales</v>
      </c>
      <c r="F143" t="str">
        <f>INDEX(Accounts!$C$2:$C$9,MATCH(D143,Accounts!$A$2:$A$9,0))</f>
        <v>Revenue</v>
      </c>
      <c r="G143" t="s">
        <v>45</v>
      </c>
      <c r="H143" t="s">
        <v>44</v>
      </c>
      <c r="I143">
        <v>56340</v>
      </c>
    </row>
    <row r="144" spans="1:9" x14ac:dyDescent="0.3">
      <c r="A144" t="s">
        <v>235</v>
      </c>
      <c r="B144" t="s">
        <v>236</v>
      </c>
      <c r="C144">
        <f t="shared" si="2"/>
        <v>45689</v>
      </c>
      <c r="D144">
        <v>4000</v>
      </c>
      <c r="E144" t="str">
        <f>INDEX(Accounts!$B$2:$B$9,MATCH(D144,Accounts!$A$2:$A$9,0))</f>
        <v>Product Sales</v>
      </c>
      <c r="F144" t="str">
        <f>INDEX(Accounts!$C$2:$C$9,MATCH(D144,Accounts!$A$2:$A$9,0))</f>
        <v>Revenue</v>
      </c>
      <c r="G144" t="s">
        <v>45</v>
      </c>
      <c r="H144" t="s">
        <v>44</v>
      </c>
      <c r="I144">
        <v>177451</v>
      </c>
    </row>
    <row r="145" spans="1:9" x14ac:dyDescent="0.3">
      <c r="A145" t="s">
        <v>237</v>
      </c>
      <c r="B145" t="s">
        <v>236</v>
      </c>
      <c r="C145">
        <f t="shared" si="2"/>
        <v>45689</v>
      </c>
      <c r="D145">
        <v>6100</v>
      </c>
      <c r="E145" t="str">
        <f>INDEX(Accounts!$B$2:$B$9,MATCH(D145,Accounts!$A$2:$A$9,0))</f>
        <v>Marketing Expense</v>
      </c>
      <c r="F145" t="str">
        <f>INDEX(Accounts!$C$2:$C$9,MATCH(D145,Accounts!$A$2:$A$9,0))</f>
        <v>Operating Expense</v>
      </c>
      <c r="G145" t="s">
        <v>41</v>
      </c>
      <c r="H145" t="s">
        <v>44</v>
      </c>
      <c r="I145">
        <v>3680</v>
      </c>
    </row>
    <row r="146" spans="1:9" x14ac:dyDescent="0.3">
      <c r="A146" t="s">
        <v>238</v>
      </c>
      <c r="B146" t="s">
        <v>236</v>
      </c>
      <c r="C146">
        <f t="shared" si="2"/>
        <v>45689</v>
      </c>
      <c r="D146">
        <v>4000</v>
      </c>
      <c r="E146" t="str">
        <f>INDEX(Accounts!$B$2:$B$9,MATCH(D146,Accounts!$A$2:$A$9,0))</f>
        <v>Product Sales</v>
      </c>
      <c r="F146" t="str">
        <f>INDEX(Accounts!$C$2:$C$9,MATCH(D146,Accounts!$A$2:$A$9,0))</f>
        <v>Revenue</v>
      </c>
      <c r="G146" t="s">
        <v>41</v>
      </c>
      <c r="H146" t="s">
        <v>44</v>
      </c>
      <c r="I146">
        <v>144021</v>
      </c>
    </row>
    <row r="147" spans="1:9" x14ac:dyDescent="0.3">
      <c r="A147" t="s">
        <v>239</v>
      </c>
      <c r="B147" t="s">
        <v>236</v>
      </c>
      <c r="C147">
        <f t="shared" si="2"/>
        <v>45689</v>
      </c>
      <c r="D147">
        <v>5000</v>
      </c>
      <c r="E147" t="str">
        <f>INDEX(Accounts!$B$2:$B$9,MATCH(D147,Accounts!$A$2:$A$9,0))</f>
        <v>Cost of Goods Sold</v>
      </c>
      <c r="F147" t="str">
        <f>INDEX(Accounts!$C$2:$C$9,MATCH(D147,Accounts!$A$2:$A$9,0))</f>
        <v>COGS</v>
      </c>
      <c r="G147" t="s">
        <v>43</v>
      </c>
      <c r="H147" t="s">
        <v>44</v>
      </c>
      <c r="I147">
        <v>53857</v>
      </c>
    </row>
    <row r="148" spans="1:9" x14ac:dyDescent="0.3">
      <c r="A148" t="s">
        <v>240</v>
      </c>
      <c r="B148" t="s">
        <v>241</v>
      </c>
      <c r="C148">
        <f t="shared" si="2"/>
        <v>45689</v>
      </c>
      <c r="D148">
        <v>6400</v>
      </c>
      <c r="E148" t="str">
        <f>INDEX(Accounts!$B$2:$B$9,MATCH(D148,Accounts!$A$2:$A$9,0))</f>
        <v>Software &amp; Admin</v>
      </c>
      <c r="F148" t="str">
        <f>INDEX(Accounts!$C$2:$C$9,MATCH(D148,Accounts!$A$2:$A$9,0))</f>
        <v>Operating Expense</v>
      </c>
      <c r="G148" t="s">
        <v>47</v>
      </c>
      <c r="H148" t="s">
        <v>46</v>
      </c>
      <c r="I148">
        <v>9270</v>
      </c>
    </row>
    <row r="149" spans="1:9" x14ac:dyDescent="0.3">
      <c r="A149" t="s">
        <v>242</v>
      </c>
      <c r="B149" t="s">
        <v>241</v>
      </c>
      <c r="C149">
        <f t="shared" si="2"/>
        <v>45689</v>
      </c>
      <c r="D149">
        <v>6300</v>
      </c>
      <c r="E149" t="str">
        <f>INDEX(Accounts!$B$2:$B$9,MATCH(D149,Accounts!$A$2:$A$9,0))</f>
        <v>Logistics Expense</v>
      </c>
      <c r="F149" t="str">
        <f>INDEX(Accounts!$C$2:$C$9,MATCH(D149,Accounts!$A$2:$A$9,0))</f>
        <v>Operating Expense</v>
      </c>
      <c r="G149" t="s">
        <v>41</v>
      </c>
      <c r="H149" t="s">
        <v>42</v>
      </c>
      <c r="I149">
        <v>5288</v>
      </c>
    </row>
    <row r="150" spans="1:9" x14ac:dyDescent="0.3">
      <c r="A150" t="s">
        <v>243</v>
      </c>
      <c r="B150" t="s">
        <v>241</v>
      </c>
      <c r="C150">
        <f t="shared" si="2"/>
        <v>45689</v>
      </c>
      <c r="D150">
        <v>6100</v>
      </c>
      <c r="E150" t="str">
        <f>INDEX(Accounts!$B$2:$B$9,MATCH(D150,Accounts!$A$2:$A$9,0))</f>
        <v>Marketing Expense</v>
      </c>
      <c r="F150" t="str">
        <f>INDEX(Accounts!$C$2:$C$9,MATCH(D150,Accounts!$A$2:$A$9,0))</f>
        <v>Operating Expense</v>
      </c>
      <c r="G150" t="s">
        <v>43</v>
      </c>
      <c r="H150" t="s">
        <v>44</v>
      </c>
      <c r="I150">
        <v>6133</v>
      </c>
    </row>
    <row r="151" spans="1:9" x14ac:dyDescent="0.3">
      <c r="A151" t="s">
        <v>244</v>
      </c>
      <c r="B151" t="s">
        <v>241</v>
      </c>
      <c r="C151">
        <f t="shared" si="2"/>
        <v>45689</v>
      </c>
      <c r="D151">
        <v>4000</v>
      </c>
      <c r="E151" t="str">
        <f>INDEX(Accounts!$B$2:$B$9,MATCH(D151,Accounts!$A$2:$A$9,0))</f>
        <v>Product Sales</v>
      </c>
      <c r="F151" t="str">
        <f>INDEX(Accounts!$C$2:$C$9,MATCH(D151,Accounts!$A$2:$A$9,0))</f>
        <v>Revenue</v>
      </c>
      <c r="G151" t="s">
        <v>41</v>
      </c>
      <c r="H151" t="s">
        <v>44</v>
      </c>
      <c r="I151">
        <v>54907</v>
      </c>
    </row>
    <row r="152" spans="1:9" x14ac:dyDescent="0.3">
      <c r="A152" t="s">
        <v>245</v>
      </c>
      <c r="B152" t="s">
        <v>241</v>
      </c>
      <c r="C152">
        <f t="shared" si="2"/>
        <v>45689</v>
      </c>
      <c r="D152">
        <v>4000</v>
      </c>
      <c r="E152" t="str">
        <f>INDEX(Accounts!$B$2:$B$9,MATCH(D152,Accounts!$A$2:$A$9,0))</f>
        <v>Product Sales</v>
      </c>
      <c r="F152" t="str">
        <f>INDEX(Accounts!$C$2:$C$9,MATCH(D152,Accounts!$A$2:$A$9,0))</f>
        <v>Revenue</v>
      </c>
      <c r="G152" t="s">
        <v>45</v>
      </c>
      <c r="H152" t="s">
        <v>46</v>
      </c>
      <c r="I152">
        <v>25301</v>
      </c>
    </row>
    <row r="153" spans="1:9" x14ac:dyDescent="0.3">
      <c r="A153" t="s">
        <v>246</v>
      </c>
      <c r="B153" t="s">
        <v>241</v>
      </c>
      <c r="C153">
        <f t="shared" si="2"/>
        <v>45689</v>
      </c>
      <c r="D153">
        <v>6300</v>
      </c>
      <c r="E153" t="str">
        <f>INDEX(Accounts!$B$2:$B$9,MATCH(D153,Accounts!$A$2:$A$9,0))</f>
        <v>Logistics Expense</v>
      </c>
      <c r="F153" t="str">
        <f>INDEX(Accounts!$C$2:$C$9,MATCH(D153,Accounts!$A$2:$A$9,0))</f>
        <v>Operating Expense</v>
      </c>
      <c r="G153" t="s">
        <v>48</v>
      </c>
      <c r="H153" t="s">
        <v>42</v>
      </c>
      <c r="I153">
        <v>10868</v>
      </c>
    </row>
    <row r="154" spans="1:9" x14ac:dyDescent="0.3">
      <c r="A154" t="s">
        <v>247</v>
      </c>
      <c r="B154" t="s">
        <v>248</v>
      </c>
      <c r="C154">
        <f t="shared" si="2"/>
        <v>45689</v>
      </c>
      <c r="D154">
        <v>4000</v>
      </c>
      <c r="E154" t="str">
        <f>INDEX(Accounts!$B$2:$B$9,MATCH(D154,Accounts!$A$2:$A$9,0))</f>
        <v>Product Sales</v>
      </c>
      <c r="F154" t="str">
        <f>INDEX(Accounts!$C$2:$C$9,MATCH(D154,Accounts!$A$2:$A$9,0))</f>
        <v>Revenue</v>
      </c>
      <c r="G154" t="s">
        <v>41</v>
      </c>
      <c r="H154" t="s">
        <v>46</v>
      </c>
      <c r="I154">
        <v>35553</v>
      </c>
    </row>
    <row r="155" spans="1:9" x14ac:dyDescent="0.3">
      <c r="A155" t="s">
        <v>249</v>
      </c>
      <c r="B155" t="s">
        <v>248</v>
      </c>
      <c r="C155">
        <f t="shared" si="2"/>
        <v>45689</v>
      </c>
      <c r="D155">
        <v>6200</v>
      </c>
      <c r="E155" t="str">
        <f>INDEX(Accounts!$B$2:$B$9,MATCH(D155,Accounts!$A$2:$A$9,0))</f>
        <v>Rent &amp; Utilities</v>
      </c>
      <c r="F155" t="str">
        <f>INDEX(Accounts!$C$2:$C$9,MATCH(D155,Accounts!$A$2:$A$9,0))</f>
        <v>Operating Expense</v>
      </c>
      <c r="G155" t="s">
        <v>43</v>
      </c>
      <c r="H155" t="s">
        <v>46</v>
      </c>
      <c r="I155">
        <v>14488</v>
      </c>
    </row>
    <row r="156" spans="1:9" x14ac:dyDescent="0.3">
      <c r="A156" t="s">
        <v>250</v>
      </c>
      <c r="B156" t="s">
        <v>248</v>
      </c>
      <c r="C156">
        <f t="shared" si="2"/>
        <v>45689</v>
      </c>
      <c r="D156">
        <v>5000</v>
      </c>
      <c r="E156" t="str">
        <f>INDEX(Accounts!$B$2:$B$9,MATCH(D156,Accounts!$A$2:$A$9,0))</f>
        <v>Cost of Goods Sold</v>
      </c>
      <c r="F156" t="str">
        <f>INDEX(Accounts!$C$2:$C$9,MATCH(D156,Accounts!$A$2:$A$9,0))</f>
        <v>COGS</v>
      </c>
      <c r="G156" t="s">
        <v>43</v>
      </c>
      <c r="H156" t="s">
        <v>44</v>
      </c>
      <c r="I156">
        <v>56885</v>
      </c>
    </row>
    <row r="157" spans="1:9" x14ac:dyDescent="0.3">
      <c r="A157" t="s">
        <v>251</v>
      </c>
      <c r="B157" t="s">
        <v>248</v>
      </c>
      <c r="C157">
        <f t="shared" si="2"/>
        <v>45689</v>
      </c>
      <c r="D157">
        <v>5000</v>
      </c>
      <c r="E157" t="str">
        <f>INDEX(Accounts!$B$2:$B$9,MATCH(D157,Accounts!$A$2:$A$9,0))</f>
        <v>Cost of Goods Sold</v>
      </c>
      <c r="F157" t="str">
        <f>INDEX(Accounts!$C$2:$C$9,MATCH(D157,Accounts!$A$2:$A$9,0))</f>
        <v>COGS</v>
      </c>
      <c r="G157" t="s">
        <v>45</v>
      </c>
      <c r="H157" t="s">
        <v>44</v>
      </c>
      <c r="I157">
        <v>37841</v>
      </c>
    </row>
    <row r="158" spans="1:9" x14ac:dyDescent="0.3">
      <c r="A158" t="s">
        <v>252</v>
      </c>
      <c r="B158" t="s">
        <v>253</v>
      </c>
      <c r="C158">
        <f t="shared" si="2"/>
        <v>45689</v>
      </c>
      <c r="D158">
        <v>6100</v>
      </c>
      <c r="E158" t="str">
        <f>INDEX(Accounts!$B$2:$B$9,MATCH(D158,Accounts!$A$2:$A$9,0))</f>
        <v>Marketing Expense</v>
      </c>
      <c r="F158" t="str">
        <f>INDEX(Accounts!$C$2:$C$9,MATCH(D158,Accounts!$A$2:$A$9,0))</f>
        <v>Operating Expense</v>
      </c>
      <c r="G158" t="s">
        <v>45</v>
      </c>
      <c r="H158" t="s">
        <v>42</v>
      </c>
      <c r="I158">
        <v>8797</v>
      </c>
    </row>
    <row r="159" spans="1:9" x14ac:dyDescent="0.3">
      <c r="A159" t="s">
        <v>254</v>
      </c>
      <c r="B159" t="s">
        <v>253</v>
      </c>
      <c r="C159">
        <f t="shared" si="2"/>
        <v>45689</v>
      </c>
      <c r="D159">
        <v>5000</v>
      </c>
      <c r="E159" t="str">
        <f>INDEX(Accounts!$B$2:$B$9,MATCH(D159,Accounts!$A$2:$A$9,0))</f>
        <v>Cost of Goods Sold</v>
      </c>
      <c r="F159" t="str">
        <f>INDEX(Accounts!$C$2:$C$9,MATCH(D159,Accounts!$A$2:$A$9,0))</f>
        <v>COGS</v>
      </c>
      <c r="G159" t="s">
        <v>45</v>
      </c>
      <c r="H159" t="s">
        <v>44</v>
      </c>
      <c r="I159">
        <v>55459</v>
      </c>
    </row>
    <row r="160" spans="1:9" x14ac:dyDescent="0.3">
      <c r="A160" t="s">
        <v>255</v>
      </c>
      <c r="B160" t="s">
        <v>253</v>
      </c>
      <c r="C160">
        <f t="shared" si="2"/>
        <v>45689</v>
      </c>
      <c r="D160">
        <v>5000</v>
      </c>
      <c r="E160" t="str">
        <f>INDEX(Accounts!$B$2:$B$9,MATCH(D160,Accounts!$A$2:$A$9,0))</f>
        <v>Cost of Goods Sold</v>
      </c>
      <c r="F160" t="str">
        <f>INDEX(Accounts!$C$2:$C$9,MATCH(D160,Accounts!$A$2:$A$9,0))</f>
        <v>COGS</v>
      </c>
      <c r="G160" t="s">
        <v>45</v>
      </c>
      <c r="H160" t="s">
        <v>42</v>
      </c>
      <c r="I160">
        <v>46803</v>
      </c>
    </row>
    <row r="161" spans="1:9" x14ac:dyDescent="0.3">
      <c r="A161" t="s">
        <v>256</v>
      </c>
      <c r="B161" t="s">
        <v>253</v>
      </c>
      <c r="C161">
        <f t="shared" si="2"/>
        <v>45689</v>
      </c>
      <c r="D161">
        <v>6400</v>
      </c>
      <c r="E161" t="str">
        <f>INDEX(Accounts!$B$2:$B$9,MATCH(D161,Accounts!$A$2:$A$9,0))</f>
        <v>Software &amp; Admin</v>
      </c>
      <c r="F161" t="str">
        <f>INDEX(Accounts!$C$2:$C$9,MATCH(D161,Accounts!$A$2:$A$9,0))</f>
        <v>Operating Expense</v>
      </c>
      <c r="G161" t="s">
        <v>43</v>
      </c>
      <c r="H161" t="s">
        <v>44</v>
      </c>
      <c r="I161">
        <v>8172</v>
      </c>
    </row>
    <row r="162" spans="1:9" x14ac:dyDescent="0.3">
      <c r="A162" t="s">
        <v>257</v>
      </c>
      <c r="B162" t="s">
        <v>253</v>
      </c>
      <c r="C162">
        <f t="shared" si="2"/>
        <v>45689</v>
      </c>
      <c r="D162">
        <v>4000</v>
      </c>
      <c r="E162" t="str">
        <f>INDEX(Accounts!$B$2:$B$9,MATCH(D162,Accounts!$A$2:$A$9,0))</f>
        <v>Product Sales</v>
      </c>
      <c r="F162" t="str">
        <f>INDEX(Accounts!$C$2:$C$9,MATCH(D162,Accounts!$A$2:$A$9,0))</f>
        <v>Revenue</v>
      </c>
      <c r="G162" t="s">
        <v>45</v>
      </c>
      <c r="H162" t="s">
        <v>42</v>
      </c>
      <c r="I162">
        <v>108408</v>
      </c>
    </row>
    <row r="163" spans="1:9" x14ac:dyDescent="0.3">
      <c r="A163" t="s">
        <v>258</v>
      </c>
      <c r="B163" t="s">
        <v>253</v>
      </c>
      <c r="C163">
        <f t="shared" si="2"/>
        <v>45689</v>
      </c>
      <c r="D163">
        <v>6000</v>
      </c>
      <c r="E163" t="str">
        <f>INDEX(Accounts!$B$2:$B$9,MATCH(D163,Accounts!$A$2:$A$9,0))</f>
        <v>Salaries &amp; Wages</v>
      </c>
      <c r="F163" t="str">
        <f>INDEX(Accounts!$C$2:$C$9,MATCH(D163,Accounts!$A$2:$A$9,0))</f>
        <v>Operating Expense</v>
      </c>
      <c r="G163" t="s">
        <v>47</v>
      </c>
      <c r="H163" t="s">
        <v>46</v>
      </c>
      <c r="I163">
        <v>33158</v>
      </c>
    </row>
    <row r="164" spans="1:9" x14ac:dyDescent="0.3">
      <c r="A164" t="s">
        <v>259</v>
      </c>
      <c r="B164" t="s">
        <v>260</v>
      </c>
      <c r="C164">
        <f t="shared" si="2"/>
        <v>45689</v>
      </c>
      <c r="D164">
        <v>6200</v>
      </c>
      <c r="E164" t="str">
        <f>INDEX(Accounts!$B$2:$B$9,MATCH(D164,Accounts!$A$2:$A$9,0))</f>
        <v>Rent &amp; Utilities</v>
      </c>
      <c r="F164" t="str">
        <f>INDEX(Accounts!$C$2:$C$9,MATCH(D164,Accounts!$A$2:$A$9,0))</f>
        <v>Operating Expense</v>
      </c>
      <c r="G164" t="s">
        <v>43</v>
      </c>
      <c r="H164" t="s">
        <v>42</v>
      </c>
      <c r="I164">
        <v>10777</v>
      </c>
    </row>
    <row r="165" spans="1:9" x14ac:dyDescent="0.3">
      <c r="A165" t="s">
        <v>261</v>
      </c>
      <c r="B165" t="s">
        <v>260</v>
      </c>
      <c r="C165">
        <f t="shared" si="2"/>
        <v>45689</v>
      </c>
      <c r="D165">
        <v>5000</v>
      </c>
      <c r="E165" t="str">
        <f>INDEX(Accounts!$B$2:$B$9,MATCH(D165,Accounts!$A$2:$A$9,0))</f>
        <v>Cost of Goods Sold</v>
      </c>
      <c r="F165" t="str">
        <f>INDEX(Accounts!$C$2:$C$9,MATCH(D165,Accounts!$A$2:$A$9,0))</f>
        <v>COGS</v>
      </c>
      <c r="G165" t="s">
        <v>43</v>
      </c>
      <c r="H165" t="s">
        <v>42</v>
      </c>
      <c r="I165">
        <v>21555</v>
      </c>
    </row>
    <row r="166" spans="1:9" x14ac:dyDescent="0.3">
      <c r="A166" t="s">
        <v>262</v>
      </c>
      <c r="B166" t="s">
        <v>260</v>
      </c>
      <c r="C166">
        <f t="shared" si="2"/>
        <v>45689</v>
      </c>
      <c r="D166">
        <v>6200</v>
      </c>
      <c r="E166" t="str">
        <f>INDEX(Accounts!$B$2:$B$9,MATCH(D166,Accounts!$A$2:$A$9,0))</f>
        <v>Rent &amp; Utilities</v>
      </c>
      <c r="F166" t="str">
        <f>INDEX(Accounts!$C$2:$C$9,MATCH(D166,Accounts!$A$2:$A$9,0))</f>
        <v>Operating Expense</v>
      </c>
      <c r="G166" t="s">
        <v>43</v>
      </c>
      <c r="H166" t="s">
        <v>44</v>
      </c>
      <c r="I166">
        <v>7022</v>
      </c>
    </row>
    <row r="167" spans="1:9" x14ac:dyDescent="0.3">
      <c r="A167" t="s">
        <v>263</v>
      </c>
      <c r="B167" t="s">
        <v>260</v>
      </c>
      <c r="C167">
        <f t="shared" si="2"/>
        <v>45689</v>
      </c>
      <c r="D167">
        <v>5000</v>
      </c>
      <c r="E167" t="str">
        <f>INDEX(Accounts!$B$2:$B$9,MATCH(D167,Accounts!$A$2:$A$9,0))</f>
        <v>Cost of Goods Sold</v>
      </c>
      <c r="F167" t="str">
        <f>INDEX(Accounts!$C$2:$C$9,MATCH(D167,Accounts!$A$2:$A$9,0))</f>
        <v>COGS</v>
      </c>
      <c r="G167" t="s">
        <v>45</v>
      </c>
      <c r="H167" t="s">
        <v>42</v>
      </c>
      <c r="I167">
        <v>29614</v>
      </c>
    </row>
    <row r="168" spans="1:9" x14ac:dyDescent="0.3">
      <c r="A168" t="s">
        <v>264</v>
      </c>
      <c r="B168" t="s">
        <v>260</v>
      </c>
      <c r="C168">
        <f t="shared" si="2"/>
        <v>45689</v>
      </c>
      <c r="D168">
        <v>6100</v>
      </c>
      <c r="E168" t="str">
        <f>INDEX(Accounts!$B$2:$B$9,MATCH(D168,Accounts!$A$2:$A$9,0))</f>
        <v>Marketing Expense</v>
      </c>
      <c r="F168" t="str">
        <f>INDEX(Accounts!$C$2:$C$9,MATCH(D168,Accounts!$A$2:$A$9,0))</f>
        <v>Operating Expense</v>
      </c>
      <c r="G168" t="s">
        <v>41</v>
      </c>
      <c r="H168" t="s">
        <v>44</v>
      </c>
      <c r="I168">
        <v>15329</v>
      </c>
    </row>
    <row r="169" spans="1:9" x14ac:dyDescent="0.3">
      <c r="A169" t="s">
        <v>265</v>
      </c>
      <c r="B169" t="s">
        <v>266</v>
      </c>
      <c r="C169">
        <f t="shared" si="2"/>
        <v>45689</v>
      </c>
      <c r="D169">
        <v>4000</v>
      </c>
      <c r="E169" t="str">
        <f>INDEX(Accounts!$B$2:$B$9,MATCH(D169,Accounts!$A$2:$A$9,0))</f>
        <v>Product Sales</v>
      </c>
      <c r="F169" t="str">
        <f>INDEX(Accounts!$C$2:$C$9,MATCH(D169,Accounts!$A$2:$A$9,0))</f>
        <v>Revenue</v>
      </c>
      <c r="G169" t="s">
        <v>41</v>
      </c>
      <c r="H169" t="s">
        <v>46</v>
      </c>
      <c r="I169">
        <v>97695</v>
      </c>
    </row>
    <row r="170" spans="1:9" x14ac:dyDescent="0.3">
      <c r="A170" t="s">
        <v>267</v>
      </c>
      <c r="B170" t="s">
        <v>266</v>
      </c>
      <c r="C170">
        <f t="shared" si="2"/>
        <v>45689</v>
      </c>
      <c r="D170">
        <v>4000</v>
      </c>
      <c r="E170" t="str">
        <f>INDEX(Accounts!$B$2:$B$9,MATCH(D170,Accounts!$A$2:$A$9,0))</f>
        <v>Product Sales</v>
      </c>
      <c r="F170" t="str">
        <f>INDEX(Accounts!$C$2:$C$9,MATCH(D170,Accounts!$A$2:$A$9,0))</f>
        <v>Revenue</v>
      </c>
      <c r="G170" t="s">
        <v>41</v>
      </c>
      <c r="H170" t="s">
        <v>44</v>
      </c>
      <c r="I170">
        <v>113040</v>
      </c>
    </row>
    <row r="171" spans="1:9" x14ac:dyDescent="0.3">
      <c r="A171" t="s">
        <v>268</v>
      </c>
      <c r="B171" t="s">
        <v>266</v>
      </c>
      <c r="C171">
        <f t="shared" si="2"/>
        <v>45689</v>
      </c>
      <c r="D171">
        <v>6100</v>
      </c>
      <c r="E171" t="str">
        <f>INDEX(Accounts!$B$2:$B$9,MATCH(D171,Accounts!$A$2:$A$9,0))</f>
        <v>Marketing Expense</v>
      </c>
      <c r="F171" t="str">
        <f>INDEX(Accounts!$C$2:$C$9,MATCH(D171,Accounts!$A$2:$A$9,0))</f>
        <v>Operating Expense</v>
      </c>
      <c r="G171" t="s">
        <v>45</v>
      </c>
      <c r="H171" t="s">
        <v>42</v>
      </c>
      <c r="I171">
        <v>11926</v>
      </c>
    </row>
    <row r="172" spans="1:9" x14ac:dyDescent="0.3">
      <c r="A172" t="s">
        <v>269</v>
      </c>
      <c r="B172" t="s">
        <v>266</v>
      </c>
      <c r="C172">
        <f t="shared" si="2"/>
        <v>45689</v>
      </c>
      <c r="D172">
        <v>6300</v>
      </c>
      <c r="E172" t="str">
        <f>INDEX(Accounts!$B$2:$B$9,MATCH(D172,Accounts!$A$2:$A$9,0))</f>
        <v>Logistics Expense</v>
      </c>
      <c r="F172" t="str">
        <f>INDEX(Accounts!$C$2:$C$9,MATCH(D172,Accounts!$A$2:$A$9,0))</f>
        <v>Operating Expense</v>
      </c>
      <c r="G172" t="s">
        <v>43</v>
      </c>
      <c r="H172" t="s">
        <v>42</v>
      </c>
      <c r="I172">
        <v>11822</v>
      </c>
    </row>
    <row r="173" spans="1:9" x14ac:dyDescent="0.3">
      <c r="A173" t="s">
        <v>270</v>
      </c>
      <c r="B173" t="s">
        <v>271</v>
      </c>
      <c r="C173">
        <f t="shared" si="2"/>
        <v>45689</v>
      </c>
      <c r="D173">
        <v>4000</v>
      </c>
      <c r="E173" t="str">
        <f>INDEX(Accounts!$B$2:$B$9,MATCH(D173,Accounts!$A$2:$A$9,0))</f>
        <v>Product Sales</v>
      </c>
      <c r="F173" t="str">
        <f>INDEX(Accounts!$C$2:$C$9,MATCH(D173,Accounts!$A$2:$A$9,0))</f>
        <v>Revenue</v>
      </c>
      <c r="G173" t="s">
        <v>48</v>
      </c>
      <c r="H173" t="s">
        <v>46</v>
      </c>
      <c r="I173">
        <v>145517</v>
      </c>
    </row>
    <row r="174" spans="1:9" x14ac:dyDescent="0.3">
      <c r="A174" t="s">
        <v>272</v>
      </c>
      <c r="B174" t="s">
        <v>271</v>
      </c>
      <c r="C174">
        <f t="shared" si="2"/>
        <v>45689</v>
      </c>
      <c r="D174">
        <v>6000</v>
      </c>
      <c r="E174" t="str">
        <f>INDEX(Accounts!$B$2:$B$9,MATCH(D174,Accounts!$A$2:$A$9,0))</f>
        <v>Salaries &amp; Wages</v>
      </c>
      <c r="F174" t="str">
        <f>INDEX(Accounts!$C$2:$C$9,MATCH(D174,Accounts!$A$2:$A$9,0))</f>
        <v>Operating Expense</v>
      </c>
      <c r="G174" t="s">
        <v>43</v>
      </c>
      <c r="H174" t="s">
        <v>42</v>
      </c>
      <c r="I174">
        <v>8049</v>
      </c>
    </row>
    <row r="175" spans="1:9" x14ac:dyDescent="0.3">
      <c r="A175" t="s">
        <v>273</v>
      </c>
      <c r="B175" t="s">
        <v>271</v>
      </c>
      <c r="C175">
        <f t="shared" si="2"/>
        <v>45689</v>
      </c>
      <c r="D175">
        <v>6200</v>
      </c>
      <c r="E175" t="str">
        <f>INDEX(Accounts!$B$2:$B$9,MATCH(D175,Accounts!$A$2:$A$9,0))</f>
        <v>Rent &amp; Utilities</v>
      </c>
      <c r="F175" t="str">
        <f>INDEX(Accounts!$C$2:$C$9,MATCH(D175,Accounts!$A$2:$A$9,0))</f>
        <v>Operating Expense</v>
      </c>
      <c r="G175" t="s">
        <v>41</v>
      </c>
      <c r="H175" t="s">
        <v>46</v>
      </c>
      <c r="I175">
        <v>14349</v>
      </c>
    </row>
    <row r="176" spans="1:9" x14ac:dyDescent="0.3">
      <c r="A176" t="s">
        <v>274</v>
      </c>
      <c r="B176" t="s">
        <v>275</v>
      </c>
      <c r="C176">
        <f t="shared" si="2"/>
        <v>45689</v>
      </c>
      <c r="D176">
        <v>6000</v>
      </c>
      <c r="E176" t="str">
        <f>INDEX(Accounts!$B$2:$B$9,MATCH(D176,Accounts!$A$2:$A$9,0))</f>
        <v>Salaries &amp; Wages</v>
      </c>
      <c r="F176" t="str">
        <f>INDEX(Accounts!$C$2:$C$9,MATCH(D176,Accounts!$A$2:$A$9,0))</f>
        <v>Operating Expense</v>
      </c>
      <c r="G176" t="s">
        <v>41</v>
      </c>
      <c r="H176" t="s">
        <v>44</v>
      </c>
      <c r="I176">
        <v>31946</v>
      </c>
    </row>
    <row r="177" spans="1:9" x14ac:dyDescent="0.3">
      <c r="A177" t="s">
        <v>276</v>
      </c>
      <c r="B177" t="s">
        <v>275</v>
      </c>
      <c r="C177">
        <f t="shared" si="2"/>
        <v>45689</v>
      </c>
      <c r="D177">
        <v>5000</v>
      </c>
      <c r="E177" t="str">
        <f>INDEX(Accounts!$B$2:$B$9,MATCH(D177,Accounts!$A$2:$A$9,0))</f>
        <v>Cost of Goods Sold</v>
      </c>
      <c r="F177" t="str">
        <f>INDEX(Accounts!$C$2:$C$9,MATCH(D177,Accounts!$A$2:$A$9,0))</f>
        <v>COGS</v>
      </c>
      <c r="G177" t="s">
        <v>45</v>
      </c>
      <c r="H177" t="s">
        <v>46</v>
      </c>
      <c r="I177">
        <v>36969</v>
      </c>
    </row>
    <row r="178" spans="1:9" x14ac:dyDescent="0.3">
      <c r="A178" t="s">
        <v>277</v>
      </c>
      <c r="B178" t="s">
        <v>275</v>
      </c>
      <c r="C178">
        <f t="shared" si="2"/>
        <v>45689</v>
      </c>
      <c r="D178">
        <v>6100</v>
      </c>
      <c r="E178" t="str">
        <f>INDEX(Accounts!$B$2:$B$9,MATCH(D178,Accounts!$A$2:$A$9,0))</f>
        <v>Marketing Expense</v>
      </c>
      <c r="F178" t="str">
        <f>INDEX(Accounts!$C$2:$C$9,MATCH(D178,Accounts!$A$2:$A$9,0))</f>
        <v>Operating Expense</v>
      </c>
      <c r="G178" t="s">
        <v>43</v>
      </c>
      <c r="H178" t="s">
        <v>44</v>
      </c>
      <c r="I178">
        <v>9736</v>
      </c>
    </row>
    <row r="179" spans="1:9" x14ac:dyDescent="0.3">
      <c r="A179" t="s">
        <v>278</v>
      </c>
      <c r="B179" t="s">
        <v>279</v>
      </c>
      <c r="C179">
        <f t="shared" si="2"/>
        <v>45689</v>
      </c>
      <c r="D179">
        <v>6100</v>
      </c>
      <c r="E179" t="str">
        <f>INDEX(Accounts!$B$2:$B$9,MATCH(D179,Accounts!$A$2:$A$9,0))</f>
        <v>Marketing Expense</v>
      </c>
      <c r="F179" t="str">
        <f>INDEX(Accounts!$C$2:$C$9,MATCH(D179,Accounts!$A$2:$A$9,0))</f>
        <v>Operating Expense</v>
      </c>
      <c r="G179" t="s">
        <v>43</v>
      </c>
      <c r="H179" t="s">
        <v>46</v>
      </c>
      <c r="I179">
        <v>16709</v>
      </c>
    </row>
    <row r="180" spans="1:9" x14ac:dyDescent="0.3">
      <c r="A180" t="s">
        <v>280</v>
      </c>
      <c r="B180" t="s">
        <v>279</v>
      </c>
      <c r="C180">
        <f t="shared" si="2"/>
        <v>45689</v>
      </c>
      <c r="D180">
        <v>5000</v>
      </c>
      <c r="E180" t="str">
        <f>INDEX(Accounts!$B$2:$B$9,MATCH(D180,Accounts!$A$2:$A$9,0))</f>
        <v>Cost of Goods Sold</v>
      </c>
      <c r="F180" t="str">
        <f>INDEX(Accounts!$C$2:$C$9,MATCH(D180,Accounts!$A$2:$A$9,0))</f>
        <v>COGS</v>
      </c>
      <c r="G180" t="s">
        <v>45</v>
      </c>
      <c r="H180" t="s">
        <v>44</v>
      </c>
      <c r="I180">
        <v>28094</v>
      </c>
    </row>
    <row r="181" spans="1:9" x14ac:dyDescent="0.3">
      <c r="A181" t="s">
        <v>281</v>
      </c>
      <c r="B181" t="s">
        <v>279</v>
      </c>
      <c r="C181">
        <f t="shared" si="2"/>
        <v>45689</v>
      </c>
      <c r="D181">
        <v>4000</v>
      </c>
      <c r="E181" t="str">
        <f>INDEX(Accounts!$B$2:$B$9,MATCH(D181,Accounts!$A$2:$A$9,0))</f>
        <v>Product Sales</v>
      </c>
      <c r="F181" t="str">
        <f>INDEX(Accounts!$C$2:$C$9,MATCH(D181,Accounts!$A$2:$A$9,0))</f>
        <v>Revenue</v>
      </c>
      <c r="G181" t="s">
        <v>41</v>
      </c>
      <c r="H181" t="s">
        <v>44</v>
      </c>
      <c r="I181">
        <v>148184</v>
      </c>
    </row>
    <row r="182" spans="1:9" x14ac:dyDescent="0.3">
      <c r="A182" t="s">
        <v>282</v>
      </c>
      <c r="B182" t="s">
        <v>279</v>
      </c>
      <c r="C182">
        <f t="shared" si="2"/>
        <v>45689</v>
      </c>
      <c r="D182">
        <v>5000</v>
      </c>
      <c r="E182" t="str">
        <f>INDEX(Accounts!$B$2:$B$9,MATCH(D182,Accounts!$A$2:$A$9,0))</f>
        <v>Cost of Goods Sold</v>
      </c>
      <c r="F182" t="str">
        <f>INDEX(Accounts!$C$2:$C$9,MATCH(D182,Accounts!$A$2:$A$9,0))</f>
        <v>COGS</v>
      </c>
      <c r="G182" t="s">
        <v>41</v>
      </c>
      <c r="H182" t="s">
        <v>46</v>
      </c>
      <c r="I182">
        <v>66159</v>
      </c>
    </row>
    <row r="183" spans="1:9" x14ac:dyDescent="0.3">
      <c r="A183" t="s">
        <v>283</v>
      </c>
      <c r="B183" t="s">
        <v>284</v>
      </c>
      <c r="C183">
        <f t="shared" si="2"/>
        <v>45689</v>
      </c>
      <c r="D183">
        <v>4000</v>
      </c>
      <c r="E183" t="str">
        <f>INDEX(Accounts!$B$2:$B$9,MATCH(D183,Accounts!$A$2:$A$9,0))</f>
        <v>Product Sales</v>
      </c>
      <c r="F183" t="str">
        <f>INDEX(Accounts!$C$2:$C$9,MATCH(D183,Accounts!$A$2:$A$9,0))</f>
        <v>Revenue</v>
      </c>
      <c r="G183" t="s">
        <v>45</v>
      </c>
      <c r="H183" t="s">
        <v>44</v>
      </c>
      <c r="I183">
        <v>129766</v>
      </c>
    </row>
    <row r="184" spans="1:9" x14ac:dyDescent="0.3">
      <c r="A184" t="s">
        <v>285</v>
      </c>
      <c r="B184" t="s">
        <v>284</v>
      </c>
      <c r="C184">
        <f t="shared" si="2"/>
        <v>45689</v>
      </c>
      <c r="D184">
        <v>6400</v>
      </c>
      <c r="E184" t="str">
        <f>INDEX(Accounts!$B$2:$B$9,MATCH(D184,Accounts!$A$2:$A$9,0))</f>
        <v>Software &amp; Admin</v>
      </c>
      <c r="F184" t="str">
        <f>INDEX(Accounts!$C$2:$C$9,MATCH(D184,Accounts!$A$2:$A$9,0))</f>
        <v>Operating Expense</v>
      </c>
      <c r="G184" t="s">
        <v>48</v>
      </c>
      <c r="H184" t="s">
        <v>46</v>
      </c>
      <c r="I184">
        <v>5415</v>
      </c>
    </row>
    <row r="185" spans="1:9" x14ac:dyDescent="0.3">
      <c r="A185" t="s">
        <v>286</v>
      </c>
      <c r="B185" t="s">
        <v>284</v>
      </c>
      <c r="C185">
        <f t="shared" si="2"/>
        <v>45689</v>
      </c>
      <c r="D185">
        <v>4000</v>
      </c>
      <c r="E185" t="str">
        <f>INDEX(Accounts!$B$2:$B$9,MATCH(D185,Accounts!$A$2:$A$9,0))</f>
        <v>Product Sales</v>
      </c>
      <c r="F185" t="str">
        <f>INDEX(Accounts!$C$2:$C$9,MATCH(D185,Accounts!$A$2:$A$9,0))</f>
        <v>Revenue</v>
      </c>
      <c r="G185" t="s">
        <v>45</v>
      </c>
      <c r="H185" t="s">
        <v>44</v>
      </c>
      <c r="I185">
        <v>161043</v>
      </c>
    </row>
    <row r="186" spans="1:9" x14ac:dyDescent="0.3">
      <c r="A186" t="s">
        <v>287</v>
      </c>
      <c r="B186" t="s">
        <v>288</v>
      </c>
      <c r="C186">
        <f t="shared" si="2"/>
        <v>45689</v>
      </c>
      <c r="D186">
        <v>6200</v>
      </c>
      <c r="E186" t="str">
        <f>INDEX(Accounts!$B$2:$B$9,MATCH(D186,Accounts!$A$2:$A$9,0))</f>
        <v>Rent &amp; Utilities</v>
      </c>
      <c r="F186" t="str">
        <f>INDEX(Accounts!$C$2:$C$9,MATCH(D186,Accounts!$A$2:$A$9,0))</f>
        <v>Operating Expense</v>
      </c>
      <c r="G186" t="s">
        <v>41</v>
      </c>
      <c r="H186" t="s">
        <v>44</v>
      </c>
      <c r="I186">
        <v>13318</v>
      </c>
    </row>
    <row r="187" spans="1:9" x14ac:dyDescent="0.3">
      <c r="A187" t="s">
        <v>289</v>
      </c>
      <c r="B187" t="s">
        <v>288</v>
      </c>
      <c r="C187">
        <f t="shared" si="2"/>
        <v>45689</v>
      </c>
      <c r="D187">
        <v>6400</v>
      </c>
      <c r="E187" t="str">
        <f>INDEX(Accounts!$B$2:$B$9,MATCH(D187,Accounts!$A$2:$A$9,0))</f>
        <v>Software &amp; Admin</v>
      </c>
      <c r="F187" t="str">
        <f>INDEX(Accounts!$C$2:$C$9,MATCH(D187,Accounts!$A$2:$A$9,0))</f>
        <v>Operating Expense</v>
      </c>
      <c r="G187" t="s">
        <v>45</v>
      </c>
      <c r="H187" t="s">
        <v>42</v>
      </c>
      <c r="I187">
        <v>6096</v>
      </c>
    </row>
    <row r="188" spans="1:9" x14ac:dyDescent="0.3">
      <c r="A188" t="s">
        <v>290</v>
      </c>
      <c r="B188" t="s">
        <v>288</v>
      </c>
      <c r="C188">
        <f t="shared" si="2"/>
        <v>45689</v>
      </c>
      <c r="D188">
        <v>6200</v>
      </c>
      <c r="E188" t="str">
        <f>INDEX(Accounts!$B$2:$B$9,MATCH(D188,Accounts!$A$2:$A$9,0))</f>
        <v>Rent &amp; Utilities</v>
      </c>
      <c r="F188" t="str">
        <f>INDEX(Accounts!$C$2:$C$9,MATCH(D188,Accounts!$A$2:$A$9,0))</f>
        <v>Operating Expense</v>
      </c>
      <c r="G188" t="s">
        <v>43</v>
      </c>
      <c r="H188" t="s">
        <v>44</v>
      </c>
      <c r="I188">
        <v>10616</v>
      </c>
    </row>
    <row r="189" spans="1:9" x14ac:dyDescent="0.3">
      <c r="A189" t="s">
        <v>291</v>
      </c>
      <c r="B189" t="s">
        <v>288</v>
      </c>
      <c r="C189">
        <f t="shared" si="2"/>
        <v>45689</v>
      </c>
      <c r="D189">
        <v>4000</v>
      </c>
      <c r="E189" t="str">
        <f>INDEX(Accounts!$B$2:$B$9,MATCH(D189,Accounts!$A$2:$A$9,0))</f>
        <v>Product Sales</v>
      </c>
      <c r="F189" t="str">
        <f>INDEX(Accounts!$C$2:$C$9,MATCH(D189,Accounts!$A$2:$A$9,0))</f>
        <v>Revenue</v>
      </c>
      <c r="G189" t="s">
        <v>41</v>
      </c>
      <c r="H189" t="s">
        <v>46</v>
      </c>
      <c r="I189">
        <v>175784</v>
      </c>
    </row>
    <row r="190" spans="1:9" x14ac:dyDescent="0.3">
      <c r="A190" t="s">
        <v>292</v>
      </c>
      <c r="B190" t="s">
        <v>288</v>
      </c>
      <c r="C190">
        <f t="shared" si="2"/>
        <v>45689</v>
      </c>
      <c r="D190">
        <v>6200</v>
      </c>
      <c r="E190" t="str">
        <f>INDEX(Accounts!$B$2:$B$9,MATCH(D190,Accounts!$A$2:$A$9,0))</f>
        <v>Rent &amp; Utilities</v>
      </c>
      <c r="F190" t="str">
        <f>INDEX(Accounts!$C$2:$C$9,MATCH(D190,Accounts!$A$2:$A$9,0))</f>
        <v>Operating Expense</v>
      </c>
      <c r="G190" t="s">
        <v>45</v>
      </c>
      <c r="H190" t="s">
        <v>44</v>
      </c>
      <c r="I190">
        <v>12024</v>
      </c>
    </row>
    <row r="191" spans="1:9" x14ac:dyDescent="0.3">
      <c r="A191" t="s">
        <v>293</v>
      </c>
      <c r="B191" t="s">
        <v>288</v>
      </c>
      <c r="C191">
        <f t="shared" si="2"/>
        <v>45689</v>
      </c>
      <c r="D191">
        <v>5000</v>
      </c>
      <c r="E191" t="str">
        <f>INDEX(Accounts!$B$2:$B$9,MATCH(D191,Accounts!$A$2:$A$9,0))</f>
        <v>Cost of Goods Sold</v>
      </c>
      <c r="F191" t="str">
        <f>INDEX(Accounts!$C$2:$C$9,MATCH(D191,Accounts!$A$2:$A$9,0))</f>
        <v>COGS</v>
      </c>
      <c r="G191" t="s">
        <v>47</v>
      </c>
      <c r="H191" t="s">
        <v>42</v>
      </c>
      <c r="I191">
        <v>26104</v>
      </c>
    </row>
    <row r="192" spans="1:9" x14ac:dyDescent="0.3">
      <c r="A192" t="s">
        <v>294</v>
      </c>
      <c r="B192" t="s">
        <v>295</v>
      </c>
      <c r="C192">
        <f t="shared" si="2"/>
        <v>45689</v>
      </c>
      <c r="D192">
        <v>5000</v>
      </c>
      <c r="E192" t="str">
        <f>INDEX(Accounts!$B$2:$B$9,MATCH(D192,Accounts!$A$2:$A$9,0))</f>
        <v>Cost of Goods Sold</v>
      </c>
      <c r="F192" t="str">
        <f>INDEX(Accounts!$C$2:$C$9,MATCH(D192,Accounts!$A$2:$A$9,0))</f>
        <v>COGS</v>
      </c>
      <c r="G192" t="s">
        <v>41</v>
      </c>
      <c r="H192" t="s">
        <v>46</v>
      </c>
      <c r="I192">
        <v>36566</v>
      </c>
    </row>
    <row r="193" spans="1:9" x14ac:dyDescent="0.3">
      <c r="A193" t="s">
        <v>296</v>
      </c>
      <c r="B193" t="s">
        <v>295</v>
      </c>
      <c r="C193">
        <f t="shared" si="2"/>
        <v>45689</v>
      </c>
      <c r="D193">
        <v>6200</v>
      </c>
      <c r="E193" t="str">
        <f>INDEX(Accounts!$B$2:$B$9,MATCH(D193,Accounts!$A$2:$A$9,0))</f>
        <v>Rent &amp; Utilities</v>
      </c>
      <c r="F193" t="str">
        <f>INDEX(Accounts!$C$2:$C$9,MATCH(D193,Accounts!$A$2:$A$9,0))</f>
        <v>Operating Expense</v>
      </c>
      <c r="G193" t="s">
        <v>48</v>
      </c>
      <c r="H193" t="s">
        <v>44</v>
      </c>
      <c r="I193">
        <v>8700</v>
      </c>
    </row>
    <row r="194" spans="1:9" x14ac:dyDescent="0.3">
      <c r="A194" t="s">
        <v>297</v>
      </c>
      <c r="B194" t="s">
        <v>298</v>
      </c>
      <c r="C194">
        <f t="shared" ref="C194:C257" si="3">DATE(YEAR(B194),MONTH(B194),1)</f>
        <v>45689</v>
      </c>
      <c r="D194">
        <v>6200</v>
      </c>
      <c r="E194" t="str">
        <f>INDEX(Accounts!$B$2:$B$9,MATCH(D194,Accounts!$A$2:$A$9,0))</f>
        <v>Rent &amp; Utilities</v>
      </c>
      <c r="F194" t="str">
        <f>INDEX(Accounts!$C$2:$C$9,MATCH(D194,Accounts!$A$2:$A$9,0))</f>
        <v>Operating Expense</v>
      </c>
      <c r="G194" t="s">
        <v>41</v>
      </c>
      <c r="H194" t="s">
        <v>42</v>
      </c>
      <c r="I194">
        <v>11922</v>
      </c>
    </row>
    <row r="195" spans="1:9" x14ac:dyDescent="0.3">
      <c r="A195" t="s">
        <v>299</v>
      </c>
      <c r="B195" t="s">
        <v>298</v>
      </c>
      <c r="C195">
        <f t="shared" si="3"/>
        <v>45689</v>
      </c>
      <c r="D195">
        <v>6300</v>
      </c>
      <c r="E195" t="str">
        <f>INDEX(Accounts!$B$2:$B$9,MATCH(D195,Accounts!$A$2:$A$9,0))</f>
        <v>Logistics Expense</v>
      </c>
      <c r="F195" t="str">
        <f>INDEX(Accounts!$C$2:$C$9,MATCH(D195,Accounts!$A$2:$A$9,0))</f>
        <v>Operating Expense</v>
      </c>
      <c r="G195" t="s">
        <v>43</v>
      </c>
      <c r="H195" t="s">
        <v>42</v>
      </c>
      <c r="I195">
        <v>4573</v>
      </c>
    </row>
    <row r="196" spans="1:9" x14ac:dyDescent="0.3">
      <c r="A196" t="s">
        <v>300</v>
      </c>
      <c r="B196" t="s">
        <v>298</v>
      </c>
      <c r="C196">
        <f t="shared" si="3"/>
        <v>45689</v>
      </c>
      <c r="D196">
        <v>5000</v>
      </c>
      <c r="E196" t="str">
        <f>INDEX(Accounts!$B$2:$B$9,MATCH(D196,Accounts!$A$2:$A$9,0))</f>
        <v>Cost of Goods Sold</v>
      </c>
      <c r="F196" t="str">
        <f>INDEX(Accounts!$C$2:$C$9,MATCH(D196,Accounts!$A$2:$A$9,0))</f>
        <v>COGS</v>
      </c>
      <c r="G196" t="s">
        <v>41</v>
      </c>
      <c r="H196" t="s">
        <v>46</v>
      </c>
      <c r="I196">
        <v>39741</v>
      </c>
    </row>
    <row r="197" spans="1:9" x14ac:dyDescent="0.3">
      <c r="A197" t="s">
        <v>301</v>
      </c>
      <c r="B197" t="s">
        <v>298</v>
      </c>
      <c r="C197">
        <f t="shared" si="3"/>
        <v>45689</v>
      </c>
      <c r="D197">
        <v>6200</v>
      </c>
      <c r="E197" t="str">
        <f>INDEX(Accounts!$B$2:$B$9,MATCH(D197,Accounts!$A$2:$A$9,0))</f>
        <v>Rent &amp; Utilities</v>
      </c>
      <c r="F197" t="str">
        <f>INDEX(Accounts!$C$2:$C$9,MATCH(D197,Accounts!$A$2:$A$9,0))</f>
        <v>Operating Expense</v>
      </c>
      <c r="G197" t="s">
        <v>45</v>
      </c>
      <c r="H197" t="s">
        <v>42</v>
      </c>
      <c r="I197">
        <v>11115</v>
      </c>
    </row>
    <row r="198" spans="1:9" x14ac:dyDescent="0.3">
      <c r="A198" t="s">
        <v>302</v>
      </c>
      <c r="B198" t="s">
        <v>303</v>
      </c>
      <c r="C198">
        <f t="shared" si="3"/>
        <v>45689</v>
      </c>
      <c r="D198">
        <v>6200</v>
      </c>
      <c r="E198" t="str">
        <f>INDEX(Accounts!$B$2:$B$9,MATCH(D198,Accounts!$A$2:$A$9,0))</f>
        <v>Rent &amp; Utilities</v>
      </c>
      <c r="F198" t="str">
        <f>INDEX(Accounts!$C$2:$C$9,MATCH(D198,Accounts!$A$2:$A$9,0))</f>
        <v>Operating Expense</v>
      </c>
      <c r="G198" t="s">
        <v>41</v>
      </c>
      <c r="H198" t="s">
        <v>46</v>
      </c>
      <c r="I198">
        <v>7941</v>
      </c>
    </row>
    <row r="199" spans="1:9" x14ac:dyDescent="0.3">
      <c r="A199" t="s">
        <v>304</v>
      </c>
      <c r="B199" t="s">
        <v>303</v>
      </c>
      <c r="C199">
        <f t="shared" si="3"/>
        <v>45689</v>
      </c>
      <c r="D199">
        <v>4000</v>
      </c>
      <c r="E199" t="str">
        <f>INDEX(Accounts!$B$2:$B$9,MATCH(D199,Accounts!$A$2:$A$9,0))</f>
        <v>Product Sales</v>
      </c>
      <c r="F199" t="str">
        <f>INDEX(Accounts!$C$2:$C$9,MATCH(D199,Accounts!$A$2:$A$9,0))</f>
        <v>Revenue</v>
      </c>
      <c r="G199" t="s">
        <v>41</v>
      </c>
      <c r="H199" t="s">
        <v>46</v>
      </c>
      <c r="I199">
        <v>95800</v>
      </c>
    </row>
    <row r="200" spans="1:9" x14ac:dyDescent="0.3">
      <c r="A200" t="s">
        <v>305</v>
      </c>
      <c r="B200" t="s">
        <v>303</v>
      </c>
      <c r="C200">
        <f t="shared" si="3"/>
        <v>45689</v>
      </c>
      <c r="D200">
        <v>6000</v>
      </c>
      <c r="E200" t="str">
        <f>INDEX(Accounts!$B$2:$B$9,MATCH(D200,Accounts!$A$2:$A$9,0))</f>
        <v>Salaries &amp; Wages</v>
      </c>
      <c r="F200" t="str">
        <f>INDEX(Accounts!$C$2:$C$9,MATCH(D200,Accounts!$A$2:$A$9,0))</f>
        <v>Operating Expense</v>
      </c>
      <c r="G200" t="s">
        <v>41</v>
      </c>
      <c r="H200" t="s">
        <v>42</v>
      </c>
      <c r="I200">
        <v>23132</v>
      </c>
    </row>
    <row r="201" spans="1:9" x14ac:dyDescent="0.3">
      <c r="A201" t="s">
        <v>306</v>
      </c>
      <c r="B201" t="s">
        <v>307</v>
      </c>
      <c r="C201">
        <f t="shared" si="3"/>
        <v>45689</v>
      </c>
      <c r="D201">
        <v>6000</v>
      </c>
      <c r="E201" t="str">
        <f>INDEX(Accounts!$B$2:$B$9,MATCH(D201,Accounts!$A$2:$A$9,0))</f>
        <v>Salaries &amp; Wages</v>
      </c>
      <c r="F201" t="str">
        <f>INDEX(Accounts!$C$2:$C$9,MATCH(D201,Accounts!$A$2:$A$9,0))</f>
        <v>Operating Expense</v>
      </c>
      <c r="G201" t="s">
        <v>45</v>
      </c>
      <c r="H201" t="s">
        <v>42</v>
      </c>
      <c r="I201">
        <v>11276</v>
      </c>
    </row>
    <row r="202" spans="1:9" x14ac:dyDescent="0.3">
      <c r="A202" t="s">
        <v>308</v>
      </c>
      <c r="B202" t="s">
        <v>307</v>
      </c>
      <c r="C202">
        <f t="shared" si="3"/>
        <v>45689</v>
      </c>
      <c r="D202">
        <v>5000</v>
      </c>
      <c r="E202" t="str">
        <f>INDEX(Accounts!$B$2:$B$9,MATCH(D202,Accounts!$A$2:$A$9,0))</f>
        <v>Cost of Goods Sold</v>
      </c>
      <c r="F202" t="str">
        <f>INDEX(Accounts!$C$2:$C$9,MATCH(D202,Accounts!$A$2:$A$9,0))</f>
        <v>COGS</v>
      </c>
      <c r="G202" t="s">
        <v>48</v>
      </c>
      <c r="H202" t="s">
        <v>44</v>
      </c>
      <c r="I202">
        <v>33302</v>
      </c>
    </row>
    <row r="203" spans="1:9" x14ac:dyDescent="0.3">
      <c r="A203" t="s">
        <v>309</v>
      </c>
      <c r="B203" t="s">
        <v>307</v>
      </c>
      <c r="C203">
        <f t="shared" si="3"/>
        <v>45689</v>
      </c>
      <c r="D203">
        <v>4000</v>
      </c>
      <c r="E203" t="str">
        <f>INDEX(Accounts!$B$2:$B$9,MATCH(D203,Accounts!$A$2:$A$9,0))</f>
        <v>Product Sales</v>
      </c>
      <c r="F203" t="str">
        <f>INDEX(Accounts!$C$2:$C$9,MATCH(D203,Accounts!$A$2:$A$9,0))</f>
        <v>Revenue</v>
      </c>
      <c r="G203" t="s">
        <v>47</v>
      </c>
      <c r="H203" t="s">
        <v>42</v>
      </c>
      <c r="I203">
        <v>44615</v>
      </c>
    </row>
    <row r="204" spans="1:9" x14ac:dyDescent="0.3">
      <c r="A204" t="s">
        <v>310</v>
      </c>
      <c r="B204" t="s">
        <v>311</v>
      </c>
      <c r="C204">
        <f t="shared" si="3"/>
        <v>45689</v>
      </c>
      <c r="D204">
        <v>6100</v>
      </c>
      <c r="E204" t="str">
        <f>INDEX(Accounts!$B$2:$B$9,MATCH(D204,Accounts!$A$2:$A$9,0))</f>
        <v>Marketing Expense</v>
      </c>
      <c r="F204" t="str">
        <f>INDEX(Accounts!$C$2:$C$9,MATCH(D204,Accounts!$A$2:$A$9,0))</f>
        <v>Operating Expense</v>
      </c>
      <c r="G204" t="s">
        <v>43</v>
      </c>
      <c r="H204" t="s">
        <v>42</v>
      </c>
      <c r="I204">
        <v>6499</v>
      </c>
    </row>
    <row r="205" spans="1:9" x14ac:dyDescent="0.3">
      <c r="A205" t="s">
        <v>312</v>
      </c>
      <c r="B205" t="s">
        <v>311</v>
      </c>
      <c r="C205">
        <f t="shared" si="3"/>
        <v>45689</v>
      </c>
      <c r="D205">
        <v>4000</v>
      </c>
      <c r="E205" t="str">
        <f>INDEX(Accounts!$B$2:$B$9,MATCH(D205,Accounts!$A$2:$A$9,0))</f>
        <v>Product Sales</v>
      </c>
      <c r="F205" t="str">
        <f>INDEX(Accounts!$C$2:$C$9,MATCH(D205,Accounts!$A$2:$A$9,0))</f>
        <v>Revenue</v>
      </c>
      <c r="G205" t="s">
        <v>41</v>
      </c>
      <c r="H205" t="s">
        <v>42</v>
      </c>
      <c r="I205">
        <v>64946</v>
      </c>
    </row>
    <row r="206" spans="1:9" x14ac:dyDescent="0.3">
      <c r="A206" t="s">
        <v>313</v>
      </c>
      <c r="B206" t="s">
        <v>311</v>
      </c>
      <c r="C206">
        <f t="shared" si="3"/>
        <v>45689</v>
      </c>
      <c r="D206">
        <v>5000</v>
      </c>
      <c r="E206" t="str">
        <f>INDEX(Accounts!$B$2:$B$9,MATCH(D206,Accounts!$A$2:$A$9,0))</f>
        <v>Cost of Goods Sold</v>
      </c>
      <c r="F206" t="str">
        <f>INDEX(Accounts!$C$2:$C$9,MATCH(D206,Accounts!$A$2:$A$9,0))</f>
        <v>COGS</v>
      </c>
      <c r="G206" t="s">
        <v>45</v>
      </c>
      <c r="H206" t="s">
        <v>44</v>
      </c>
      <c r="I206">
        <v>30046</v>
      </c>
    </row>
    <row r="207" spans="1:9" x14ac:dyDescent="0.3">
      <c r="A207" t="s">
        <v>314</v>
      </c>
      <c r="B207" t="s">
        <v>311</v>
      </c>
      <c r="C207">
        <f t="shared" si="3"/>
        <v>45689</v>
      </c>
      <c r="D207">
        <v>5000</v>
      </c>
      <c r="E207" t="str">
        <f>INDEX(Accounts!$B$2:$B$9,MATCH(D207,Accounts!$A$2:$A$9,0))</f>
        <v>Cost of Goods Sold</v>
      </c>
      <c r="F207" t="str">
        <f>INDEX(Accounts!$C$2:$C$9,MATCH(D207,Accounts!$A$2:$A$9,0))</f>
        <v>COGS</v>
      </c>
      <c r="G207" t="s">
        <v>41</v>
      </c>
      <c r="H207" t="s">
        <v>42</v>
      </c>
      <c r="I207">
        <v>62567</v>
      </c>
    </row>
    <row r="208" spans="1:9" x14ac:dyDescent="0.3">
      <c r="A208" t="s">
        <v>315</v>
      </c>
      <c r="B208" t="s">
        <v>311</v>
      </c>
      <c r="C208">
        <f t="shared" si="3"/>
        <v>45689</v>
      </c>
      <c r="D208">
        <v>5000</v>
      </c>
      <c r="E208" t="str">
        <f>INDEX(Accounts!$B$2:$B$9,MATCH(D208,Accounts!$A$2:$A$9,0))</f>
        <v>Cost of Goods Sold</v>
      </c>
      <c r="F208" t="str">
        <f>INDEX(Accounts!$C$2:$C$9,MATCH(D208,Accounts!$A$2:$A$9,0))</f>
        <v>COGS</v>
      </c>
      <c r="G208" t="s">
        <v>43</v>
      </c>
      <c r="H208" t="s">
        <v>44</v>
      </c>
      <c r="I208">
        <v>27487</v>
      </c>
    </row>
    <row r="209" spans="1:9" x14ac:dyDescent="0.3">
      <c r="A209" t="s">
        <v>316</v>
      </c>
      <c r="B209" t="s">
        <v>311</v>
      </c>
      <c r="C209">
        <f t="shared" si="3"/>
        <v>45689</v>
      </c>
      <c r="D209">
        <v>6000</v>
      </c>
      <c r="E209" t="str">
        <f>INDEX(Accounts!$B$2:$B$9,MATCH(D209,Accounts!$A$2:$A$9,0))</f>
        <v>Salaries &amp; Wages</v>
      </c>
      <c r="F209" t="str">
        <f>INDEX(Accounts!$C$2:$C$9,MATCH(D209,Accounts!$A$2:$A$9,0))</f>
        <v>Operating Expense</v>
      </c>
      <c r="G209" t="s">
        <v>43</v>
      </c>
      <c r="H209" t="s">
        <v>44</v>
      </c>
      <c r="I209">
        <v>13270</v>
      </c>
    </row>
    <row r="210" spans="1:9" x14ac:dyDescent="0.3">
      <c r="A210" t="s">
        <v>317</v>
      </c>
      <c r="B210" t="s">
        <v>311</v>
      </c>
      <c r="C210">
        <f t="shared" si="3"/>
        <v>45689</v>
      </c>
      <c r="D210">
        <v>4000</v>
      </c>
      <c r="E210" t="str">
        <f>INDEX(Accounts!$B$2:$B$9,MATCH(D210,Accounts!$A$2:$A$9,0))</f>
        <v>Product Sales</v>
      </c>
      <c r="F210" t="str">
        <f>INDEX(Accounts!$C$2:$C$9,MATCH(D210,Accounts!$A$2:$A$9,0))</f>
        <v>Revenue</v>
      </c>
      <c r="G210" t="s">
        <v>41</v>
      </c>
      <c r="H210" t="s">
        <v>42</v>
      </c>
      <c r="I210">
        <v>100505</v>
      </c>
    </row>
    <row r="211" spans="1:9" x14ac:dyDescent="0.3">
      <c r="A211" t="s">
        <v>318</v>
      </c>
      <c r="B211" t="s">
        <v>311</v>
      </c>
      <c r="C211">
        <f t="shared" si="3"/>
        <v>45689</v>
      </c>
      <c r="D211">
        <v>6200</v>
      </c>
      <c r="E211" t="str">
        <f>INDEX(Accounts!$B$2:$B$9,MATCH(D211,Accounts!$A$2:$A$9,0))</f>
        <v>Rent &amp; Utilities</v>
      </c>
      <c r="F211" t="str">
        <f>INDEX(Accounts!$C$2:$C$9,MATCH(D211,Accounts!$A$2:$A$9,0))</f>
        <v>Operating Expense</v>
      </c>
      <c r="G211" t="s">
        <v>43</v>
      </c>
      <c r="H211" t="s">
        <v>46</v>
      </c>
      <c r="I211">
        <v>7377</v>
      </c>
    </row>
    <row r="212" spans="1:9" x14ac:dyDescent="0.3">
      <c r="A212" t="s">
        <v>319</v>
      </c>
      <c r="B212" t="s">
        <v>311</v>
      </c>
      <c r="C212">
        <f t="shared" si="3"/>
        <v>45689</v>
      </c>
      <c r="D212">
        <v>5000</v>
      </c>
      <c r="E212" t="str">
        <f>INDEX(Accounts!$B$2:$B$9,MATCH(D212,Accounts!$A$2:$A$9,0))</f>
        <v>Cost of Goods Sold</v>
      </c>
      <c r="F212" t="str">
        <f>INDEX(Accounts!$C$2:$C$9,MATCH(D212,Accounts!$A$2:$A$9,0))</f>
        <v>COGS</v>
      </c>
      <c r="G212" t="s">
        <v>43</v>
      </c>
      <c r="H212" t="s">
        <v>46</v>
      </c>
      <c r="I212">
        <v>12484</v>
      </c>
    </row>
    <row r="213" spans="1:9" x14ac:dyDescent="0.3">
      <c r="A213" t="s">
        <v>320</v>
      </c>
      <c r="B213" t="s">
        <v>321</v>
      </c>
      <c r="C213">
        <f t="shared" si="3"/>
        <v>45689</v>
      </c>
      <c r="D213">
        <v>5000</v>
      </c>
      <c r="E213" t="str">
        <f>INDEX(Accounts!$B$2:$B$9,MATCH(D213,Accounts!$A$2:$A$9,0))</f>
        <v>Cost of Goods Sold</v>
      </c>
      <c r="F213" t="str">
        <f>INDEX(Accounts!$C$2:$C$9,MATCH(D213,Accounts!$A$2:$A$9,0))</f>
        <v>COGS</v>
      </c>
      <c r="G213" t="s">
        <v>48</v>
      </c>
      <c r="H213" t="s">
        <v>46</v>
      </c>
      <c r="I213">
        <v>53581</v>
      </c>
    </row>
    <row r="214" spans="1:9" x14ac:dyDescent="0.3">
      <c r="A214" t="s">
        <v>322</v>
      </c>
      <c r="B214" t="s">
        <v>321</v>
      </c>
      <c r="C214">
        <f t="shared" si="3"/>
        <v>45689</v>
      </c>
      <c r="D214">
        <v>4000</v>
      </c>
      <c r="E214" t="str">
        <f>INDEX(Accounts!$B$2:$B$9,MATCH(D214,Accounts!$A$2:$A$9,0))</f>
        <v>Product Sales</v>
      </c>
      <c r="F214" t="str">
        <f>INDEX(Accounts!$C$2:$C$9,MATCH(D214,Accounts!$A$2:$A$9,0))</f>
        <v>Revenue</v>
      </c>
      <c r="G214" t="s">
        <v>41</v>
      </c>
      <c r="H214" t="s">
        <v>46</v>
      </c>
      <c r="I214">
        <v>38653</v>
      </c>
    </row>
    <row r="215" spans="1:9" x14ac:dyDescent="0.3">
      <c r="A215" t="s">
        <v>323</v>
      </c>
      <c r="B215" t="s">
        <v>321</v>
      </c>
      <c r="C215">
        <f t="shared" si="3"/>
        <v>45689</v>
      </c>
      <c r="D215">
        <v>6300</v>
      </c>
      <c r="E215" t="str">
        <f>INDEX(Accounts!$B$2:$B$9,MATCH(D215,Accounts!$A$2:$A$9,0))</f>
        <v>Logistics Expense</v>
      </c>
      <c r="F215" t="str">
        <f>INDEX(Accounts!$C$2:$C$9,MATCH(D215,Accounts!$A$2:$A$9,0))</f>
        <v>Operating Expense</v>
      </c>
      <c r="G215" t="s">
        <v>41</v>
      </c>
      <c r="H215" t="s">
        <v>44</v>
      </c>
      <c r="I215">
        <v>5495</v>
      </c>
    </row>
    <row r="216" spans="1:9" x14ac:dyDescent="0.3">
      <c r="A216" t="s">
        <v>324</v>
      </c>
      <c r="B216" t="s">
        <v>321</v>
      </c>
      <c r="C216">
        <f t="shared" si="3"/>
        <v>45689</v>
      </c>
      <c r="D216">
        <v>4000</v>
      </c>
      <c r="E216" t="str">
        <f>INDEX(Accounts!$B$2:$B$9,MATCH(D216,Accounts!$A$2:$A$9,0))</f>
        <v>Product Sales</v>
      </c>
      <c r="F216" t="str">
        <f>INDEX(Accounts!$C$2:$C$9,MATCH(D216,Accounts!$A$2:$A$9,0))</f>
        <v>Revenue</v>
      </c>
      <c r="G216" t="s">
        <v>43</v>
      </c>
      <c r="H216" t="s">
        <v>46</v>
      </c>
      <c r="I216">
        <v>39053</v>
      </c>
    </row>
    <row r="217" spans="1:9" x14ac:dyDescent="0.3">
      <c r="A217" t="s">
        <v>325</v>
      </c>
      <c r="B217" t="s">
        <v>321</v>
      </c>
      <c r="C217">
        <f t="shared" si="3"/>
        <v>45689</v>
      </c>
      <c r="D217">
        <v>4000</v>
      </c>
      <c r="E217" t="str">
        <f>INDEX(Accounts!$B$2:$B$9,MATCH(D217,Accounts!$A$2:$A$9,0))</f>
        <v>Product Sales</v>
      </c>
      <c r="F217" t="str">
        <f>INDEX(Accounts!$C$2:$C$9,MATCH(D217,Accounts!$A$2:$A$9,0))</f>
        <v>Revenue</v>
      </c>
      <c r="G217" t="s">
        <v>45</v>
      </c>
      <c r="H217" t="s">
        <v>46</v>
      </c>
      <c r="I217">
        <v>177023</v>
      </c>
    </row>
    <row r="218" spans="1:9" x14ac:dyDescent="0.3">
      <c r="A218" t="s">
        <v>326</v>
      </c>
      <c r="B218" t="s">
        <v>327</v>
      </c>
      <c r="C218">
        <f t="shared" si="3"/>
        <v>45689</v>
      </c>
      <c r="D218">
        <v>6000</v>
      </c>
      <c r="E218" t="str">
        <f>INDEX(Accounts!$B$2:$B$9,MATCH(D218,Accounts!$A$2:$A$9,0))</f>
        <v>Salaries &amp; Wages</v>
      </c>
      <c r="F218" t="str">
        <f>INDEX(Accounts!$C$2:$C$9,MATCH(D218,Accounts!$A$2:$A$9,0))</f>
        <v>Operating Expense</v>
      </c>
      <c r="G218" t="s">
        <v>47</v>
      </c>
      <c r="H218" t="s">
        <v>46</v>
      </c>
      <c r="I218">
        <v>30645</v>
      </c>
    </row>
    <row r="219" spans="1:9" x14ac:dyDescent="0.3">
      <c r="A219" t="s">
        <v>328</v>
      </c>
      <c r="B219" t="s">
        <v>327</v>
      </c>
      <c r="C219">
        <f t="shared" si="3"/>
        <v>45689</v>
      </c>
      <c r="D219">
        <v>4000</v>
      </c>
      <c r="E219" t="str">
        <f>INDEX(Accounts!$B$2:$B$9,MATCH(D219,Accounts!$A$2:$A$9,0))</f>
        <v>Product Sales</v>
      </c>
      <c r="F219" t="str">
        <f>INDEX(Accounts!$C$2:$C$9,MATCH(D219,Accounts!$A$2:$A$9,0))</f>
        <v>Revenue</v>
      </c>
      <c r="G219" t="s">
        <v>41</v>
      </c>
      <c r="H219" t="s">
        <v>44</v>
      </c>
      <c r="I219">
        <v>140466</v>
      </c>
    </row>
    <row r="220" spans="1:9" x14ac:dyDescent="0.3">
      <c r="A220" t="s">
        <v>329</v>
      </c>
      <c r="B220" t="s">
        <v>327</v>
      </c>
      <c r="C220">
        <f t="shared" si="3"/>
        <v>45689</v>
      </c>
      <c r="D220">
        <v>6000</v>
      </c>
      <c r="E220" t="str">
        <f>INDEX(Accounts!$B$2:$B$9,MATCH(D220,Accounts!$A$2:$A$9,0))</f>
        <v>Salaries &amp; Wages</v>
      </c>
      <c r="F220" t="str">
        <f>INDEX(Accounts!$C$2:$C$9,MATCH(D220,Accounts!$A$2:$A$9,0))</f>
        <v>Operating Expense</v>
      </c>
      <c r="G220" t="s">
        <v>43</v>
      </c>
      <c r="H220" t="s">
        <v>46</v>
      </c>
      <c r="I220">
        <v>25349</v>
      </c>
    </row>
    <row r="221" spans="1:9" x14ac:dyDescent="0.3">
      <c r="A221" t="s">
        <v>330</v>
      </c>
      <c r="B221" t="s">
        <v>327</v>
      </c>
      <c r="C221">
        <f t="shared" si="3"/>
        <v>45689</v>
      </c>
      <c r="D221">
        <v>6200</v>
      </c>
      <c r="E221" t="str">
        <f>INDEX(Accounts!$B$2:$B$9,MATCH(D221,Accounts!$A$2:$A$9,0))</f>
        <v>Rent &amp; Utilities</v>
      </c>
      <c r="F221" t="str">
        <f>INDEX(Accounts!$C$2:$C$9,MATCH(D221,Accounts!$A$2:$A$9,0))</f>
        <v>Operating Expense</v>
      </c>
      <c r="G221" t="s">
        <v>41</v>
      </c>
      <c r="H221" t="s">
        <v>44</v>
      </c>
      <c r="I221">
        <v>3251</v>
      </c>
    </row>
    <row r="222" spans="1:9" x14ac:dyDescent="0.3">
      <c r="A222" t="s">
        <v>331</v>
      </c>
      <c r="B222" t="s">
        <v>332</v>
      </c>
      <c r="C222">
        <f t="shared" si="3"/>
        <v>45717</v>
      </c>
      <c r="D222">
        <v>4000</v>
      </c>
      <c r="E222" t="str">
        <f>INDEX(Accounts!$B$2:$B$9,MATCH(D222,Accounts!$A$2:$A$9,0))</f>
        <v>Product Sales</v>
      </c>
      <c r="F222" t="str">
        <f>INDEX(Accounts!$C$2:$C$9,MATCH(D222,Accounts!$A$2:$A$9,0))</f>
        <v>Revenue</v>
      </c>
      <c r="G222" t="s">
        <v>41</v>
      </c>
      <c r="H222" t="s">
        <v>44</v>
      </c>
      <c r="I222">
        <v>93724</v>
      </c>
    </row>
    <row r="223" spans="1:9" x14ac:dyDescent="0.3">
      <c r="A223" t="s">
        <v>333</v>
      </c>
      <c r="B223" t="s">
        <v>332</v>
      </c>
      <c r="C223">
        <f t="shared" si="3"/>
        <v>45717</v>
      </c>
      <c r="D223">
        <v>4000</v>
      </c>
      <c r="E223" t="str">
        <f>INDEX(Accounts!$B$2:$B$9,MATCH(D223,Accounts!$A$2:$A$9,0))</f>
        <v>Product Sales</v>
      </c>
      <c r="F223" t="str">
        <f>INDEX(Accounts!$C$2:$C$9,MATCH(D223,Accounts!$A$2:$A$9,0))</f>
        <v>Revenue</v>
      </c>
      <c r="G223" t="s">
        <v>41</v>
      </c>
      <c r="H223" t="s">
        <v>46</v>
      </c>
      <c r="I223">
        <v>130063</v>
      </c>
    </row>
    <row r="224" spans="1:9" x14ac:dyDescent="0.3">
      <c r="A224" t="s">
        <v>334</v>
      </c>
      <c r="B224" t="s">
        <v>332</v>
      </c>
      <c r="C224">
        <f t="shared" si="3"/>
        <v>45717</v>
      </c>
      <c r="D224">
        <v>6400</v>
      </c>
      <c r="E224" t="str">
        <f>INDEX(Accounts!$B$2:$B$9,MATCH(D224,Accounts!$A$2:$A$9,0))</f>
        <v>Software &amp; Admin</v>
      </c>
      <c r="F224" t="str">
        <f>INDEX(Accounts!$C$2:$C$9,MATCH(D224,Accounts!$A$2:$A$9,0))</f>
        <v>Operating Expense</v>
      </c>
      <c r="G224" t="s">
        <v>41</v>
      </c>
      <c r="H224" t="s">
        <v>46</v>
      </c>
      <c r="I224">
        <v>8538</v>
      </c>
    </row>
    <row r="225" spans="1:9" x14ac:dyDescent="0.3">
      <c r="A225" t="s">
        <v>335</v>
      </c>
      <c r="B225" t="s">
        <v>336</v>
      </c>
      <c r="C225">
        <f t="shared" si="3"/>
        <v>45717</v>
      </c>
      <c r="D225">
        <v>4100</v>
      </c>
      <c r="E225" t="str">
        <f>INDEX(Accounts!$B$2:$B$9,MATCH(D225,Accounts!$A$2:$A$9,0))</f>
        <v>Sales Returns &amp; Discounts</v>
      </c>
      <c r="F225" t="str">
        <f>INDEX(Accounts!$C$2:$C$9,MATCH(D225,Accounts!$A$2:$A$9,0))</f>
        <v>Contra Revenue</v>
      </c>
      <c r="G225" t="s">
        <v>41</v>
      </c>
      <c r="H225" t="s">
        <v>44</v>
      </c>
      <c r="I225">
        <v>7141</v>
      </c>
    </row>
    <row r="226" spans="1:9" x14ac:dyDescent="0.3">
      <c r="A226" t="s">
        <v>337</v>
      </c>
      <c r="B226" t="s">
        <v>336</v>
      </c>
      <c r="C226">
        <f t="shared" si="3"/>
        <v>45717</v>
      </c>
      <c r="D226">
        <v>5000</v>
      </c>
      <c r="E226" t="str">
        <f>INDEX(Accounts!$B$2:$B$9,MATCH(D226,Accounts!$A$2:$A$9,0))</f>
        <v>Cost of Goods Sold</v>
      </c>
      <c r="F226" t="str">
        <f>INDEX(Accounts!$C$2:$C$9,MATCH(D226,Accounts!$A$2:$A$9,0))</f>
        <v>COGS</v>
      </c>
      <c r="G226" t="s">
        <v>41</v>
      </c>
      <c r="H226" t="s">
        <v>42</v>
      </c>
      <c r="I226">
        <v>63576</v>
      </c>
    </row>
    <row r="227" spans="1:9" x14ac:dyDescent="0.3">
      <c r="A227" t="s">
        <v>338</v>
      </c>
      <c r="B227" t="s">
        <v>336</v>
      </c>
      <c r="C227">
        <f t="shared" si="3"/>
        <v>45717</v>
      </c>
      <c r="D227">
        <v>6100</v>
      </c>
      <c r="E227" t="str">
        <f>INDEX(Accounts!$B$2:$B$9,MATCH(D227,Accounts!$A$2:$A$9,0))</f>
        <v>Marketing Expense</v>
      </c>
      <c r="F227" t="str">
        <f>INDEX(Accounts!$C$2:$C$9,MATCH(D227,Accounts!$A$2:$A$9,0))</f>
        <v>Operating Expense</v>
      </c>
      <c r="G227" t="s">
        <v>48</v>
      </c>
      <c r="H227" t="s">
        <v>46</v>
      </c>
      <c r="I227">
        <v>10543</v>
      </c>
    </row>
    <row r="228" spans="1:9" x14ac:dyDescent="0.3">
      <c r="A228" t="s">
        <v>339</v>
      </c>
      <c r="B228" t="s">
        <v>336</v>
      </c>
      <c r="C228">
        <f t="shared" si="3"/>
        <v>45717</v>
      </c>
      <c r="D228">
        <v>6000</v>
      </c>
      <c r="E228" t="str">
        <f>INDEX(Accounts!$B$2:$B$9,MATCH(D228,Accounts!$A$2:$A$9,0))</f>
        <v>Salaries &amp; Wages</v>
      </c>
      <c r="F228" t="str">
        <f>INDEX(Accounts!$C$2:$C$9,MATCH(D228,Accounts!$A$2:$A$9,0))</f>
        <v>Operating Expense</v>
      </c>
      <c r="G228" t="s">
        <v>43</v>
      </c>
      <c r="H228" t="s">
        <v>44</v>
      </c>
      <c r="I228">
        <v>26954</v>
      </c>
    </row>
    <row r="229" spans="1:9" x14ac:dyDescent="0.3">
      <c r="A229" t="s">
        <v>340</v>
      </c>
      <c r="B229" t="s">
        <v>336</v>
      </c>
      <c r="C229">
        <f t="shared" si="3"/>
        <v>45717</v>
      </c>
      <c r="D229">
        <v>5000</v>
      </c>
      <c r="E229" t="str">
        <f>INDEX(Accounts!$B$2:$B$9,MATCH(D229,Accounts!$A$2:$A$9,0))</f>
        <v>Cost of Goods Sold</v>
      </c>
      <c r="F229" t="str">
        <f>INDEX(Accounts!$C$2:$C$9,MATCH(D229,Accounts!$A$2:$A$9,0))</f>
        <v>COGS</v>
      </c>
      <c r="G229" t="s">
        <v>41</v>
      </c>
      <c r="H229" t="s">
        <v>44</v>
      </c>
      <c r="I229">
        <v>37616</v>
      </c>
    </row>
    <row r="230" spans="1:9" x14ac:dyDescent="0.3">
      <c r="A230" t="s">
        <v>341</v>
      </c>
      <c r="B230" t="s">
        <v>336</v>
      </c>
      <c r="C230">
        <f t="shared" si="3"/>
        <v>45717</v>
      </c>
      <c r="D230">
        <v>4000</v>
      </c>
      <c r="E230" t="str">
        <f>INDEX(Accounts!$B$2:$B$9,MATCH(D230,Accounts!$A$2:$A$9,0))</f>
        <v>Product Sales</v>
      </c>
      <c r="F230" t="str">
        <f>INDEX(Accounts!$C$2:$C$9,MATCH(D230,Accounts!$A$2:$A$9,0))</f>
        <v>Revenue</v>
      </c>
      <c r="G230" t="s">
        <v>47</v>
      </c>
      <c r="H230" t="s">
        <v>42</v>
      </c>
      <c r="I230">
        <v>48670</v>
      </c>
    </row>
    <row r="231" spans="1:9" x14ac:dyDescent="0.3">
      <c r="A231" t="s">
        <v>342</v>
      </c>
      <c r="B231" t="s">
        <v>336</v>
      </c>
      <c r="C231">
        <f t="shared" si="3"/>
        <v>45717</v>
      </c>
      <c r="D231">
        <v>6200</v>
      </c>
      <c r="E231" t="str">
        <f>INDEX(Accounts!$B$2:$B$9,MATCH(D231,Accounts!$A$2:$A$9,0))</f>
        <v>Rent &amp; Utilities</v>
      </c>
      <c r="F231" t="str">
        <f>INDEX(Accounts!$C$2:$C$9,MATCH(D231,Accounts!$A$2:$A$9,0))</f>
        <v>Operating Expense</v>
      </c>
      <c r="G231" t="s">
        <v>45</v>
      </c>
      <c r="H231" t="s">
        <v>42</v>
      </c>
      <c r="I231">
        <v>8401</v>
      </c>
    </row>
    <row r="232" spans="1:9" x14ac:dyDescent="0.3">
      <c r="A232" t="s">
        <v>343</v>
      </c>
      <c r="B232" t="s">
        <v>344</v>
      </c>
      <c r="C232">
        <f t="shared" si="3"/>
        <v>45717</v>
      </c>
      <c r="D232">
        <v>5000</v>
      </c>
      <c r="E232" t="str">
        <f>INDEX(Accounts!$B$2:$B$9,MATCH(D232,Accounts!$A$2:$A$9,0))</f>
        <v>Cost of Goods Sold</v>
      </c>
      <c r="F232" t="str">
        <f>INDEX(Accounts!$C$2:$C$9,MATCH(D232,Accounts!$A$2:$A$9,0))</f>
        <v>COGS</v>
      </c>
      <c r="G232" t="s">
        <v>41</v>
      </c>
      <c r="H232" t="s">
        <v>46</v>
      </c>
      <c r="I232">
        <v>54130</v>
      </c>
    </row>
    <row r="233" spans="1:9" x14ac:dyDescent="0.3">
      <c r="A233" t="s">
        <v>345</v>
      </c>
      <c r="B233" t="s">
        <v>344</v>
      </c>
      <c r="C233">
        <f t="shared" si="3"/>
        <v>45717</v>
      </c>
      <c r="D233">
        <v>6300</v>
      </c>
      <c r="E233" t="str">
        <f>INDEX(Accounts!$B$2:$B$9,MATCH(D233,Accounts!$A$2:$A$9,0))</f>
        <v>Logistics Expense</v>
      </c>
      <c r="F233" t="str">
        <f>INDEX(Accounts!$C$2:$C$9,MATCH(D233,Accounts!$A$2:$A$9,0))</f>
        <v>Operating Expense</v>
      </c>
      <c r="G233" t="s">
        <v>43</v>
      </c>
      <c r="H233" t="s">
        <v>44</v>
      </c>
      <c r="I233">
        <v>4377</v>
      </c>
    </row>
    <row r="234" spans="1:9" x14ac:dyDescent="0.3">
      <c r="A234" t="s">
        <v>346</v>
      </c>
      <c r="B234" t="s">
        <v>344</v>
      </c>
      <c r="C234">
        <f t="shared" si="3"/>
        <v>45717</v>
      </c>
      <c r="D234">
        <v>4000</v>
      </c>
      <c r="E234" t="str">
        <f>INDEX(Accounts!$B$2:$B$9,MATCH(D234,Accounts!$A$2:$A$9,0))</f>
        <v>Product Sales</v>
      </c>
      <c r="F234" t="str">
        <f>INDEX(Accounts!$C$2:$C$9,MATCH(D234,Accounts!$A$2:$A$9,0))</f>
        <v>Revenue</v>
      </c>
      <c r="G234" t="s">
        <v>45</v>
      </c>
      <c r="H234" t="s">
        <v>42</v>
      </c>
      <c r="I234">
        <v>49053</v>
      </c>
    </row>
    <row r="235" spans="1:9" x14ac:dyDescent="0.3">
      <c r="A235" t="s">
        <v>347</v>
      </c>
      <c r="B235" t="s">
        <v>344</v>
      </c>
      <c r="C235">
        <f t="shared" si="3"/>
        <v>45717</v>
      </c>
      <c r="D235">
        <v>6300</v>
      </c>
      <c r="E235" t="str">
        <f>INDEX(Accounts!$B$2:$B$9,MATCH(D235,Accounts!$A$2:$A$9,0))</f>
        <v>Logistics Expense</v>
      </c>
      <c r="F235" t="str">
        <f>INDEX(Accounts!$C$2:$C$9,MATCH(D235,Accounts!$A$2:$A$9,0))</f>
        <v>Operating Expense</v>
      </c>
      <c r="G235" t="s">
        <v>41</v>
      </c>
      <c r="H235" t="s">
        <v>46</v>
      </c>
      <c r="I235">
        <v>2315</v>
      </c>
    </row>
    <row r="236" spans="1:9" x14ac:dyDescent="0.3">
      <c r="A236" t="s">
        <v>348</v>
      </c>
      <c r="B236" t="s">
        <v>349</v>
      </c>
      <c r="C236">
        <f t="shared" si="3"/>
        <v>45717</v>
      </c>
      <c r="D236">
        <v>4000</v>
      </c>
      <c r="E236" t="str">
        <f>INDEX(Accounts!$B$2:$B$9,MATCH(D236,Accounts!$A$2:$A$9,0))</f>
        <v>Product Sales</v>
      </c>
      <c r="F236" t="str">
        <f>INDEX(Accounts!$C$2:$C$9,MATCH(D236,Accounts!$A$2:$A$9,0))</f>
        <v>Revenue</v>
      </c>
      <c r="G236" t="s">
        <v>43</v>
      </c>
      <c r="H236" t="s">
        <v>46</v>
      </c>
      <c r="I236">
        <v>102561</v>
      </c>
    </row>
    <row r="237" spans="1:9" x14ac:dyDescent="0.3">
      <c r="A237" t="s">
        <v>350</v>
      </c>
      <c r="B237" t="s">
        <v>349</v>
      </c>
      <c r="C237">
        <f t="shared" si="3"/>
        <v>45717</v>
      </c>
      <c r="D237">
        <v>4000</v>
      </c>
      <c r="E237" t="str">
        <f>INDEX(Accounts!$B$2:$B$9,MATCH(D237,Accounts!$A$2:$A$9,0))</f>
        <v>Product Sales</v>
      </c>
      <c r="F237" t="str">
        <f>INDEX(Accounts!$C$2:$C$9,MATCH(D237,Accounts!$A$2:$A$9,0))</f>
        <v>Revenue</v>
      </c>
      <c r="G237" t="s">
        <v>43</v>
      </c>
      <c r="H237" t="s">
        <v>44</v>
      </c>
      <c r="I237">
        <v>143919</v>
      </c>
    </row>
    <row r="238" spans="1:9" x14ac:dyDescent="0.3">
      <c r="A238" t="s">
        <v>351</v>
      </c>
      <c r="B238" t="s">
        <v>349</v>
      </c>
      <c r="C238">
        <f t="shared" si="3"/>
        <v>45717</v>
      </c>
      <c r="D238">
        <v>6200</v>
      </c>
      <c r="E238" t="str">
        <f>INDEX(Accounts!$B$2:$B$9,MATCH(D238,Accounts!$A$2:$A$9,0))</f>
        <v>Rent &amp; Utilities</v>
      </c>
      <c r="F238" t="str">
        <f>INDEX(Accounts!$C$2:$C$9,MATCH(D238,Accounts!$A$2:$A$9,0))</f>
        <v>Operating Expense</v>
      </c>
      <c r="G238" t="s">
        <v>45</v>
      </c>
      <c r="H238" t="s">
        <v>44</v>
      </c>
      <c r="I238">
        <v>3536</v>
      </c>
    </row>
    <row r="239" spans="1:9" x14ac:dyDescent="0.3">
      <c r="A239" t="s">
        <v>352</v>
      </c>
      <c r="B239" t="s">
        <v>349</v>
      </c>
      <c r="C239">
        <f t="shared" si="3"/>
        <v>45717</v>
      </c>
      <c r="D239">
        <v>5000</v>
      </c>
      <c r="E239" t="str">
        <f>INDEX(Accounts!$B$2:$B$9,MATCH(D239,Accounts!$A$2:$A$9,0))</f>
        <v>Cost of Goods Sold</v>
      </c>
      <c r="F239" t="str">
        <f>INDEX(Accounts!$C$2:$C$9,MATCH(D239,Accounts!$A$2:$A$9,0))</f>
        <v>COGS</v>
      </c>
      <c r="G239" t="s">
        <v>47</v>
      </c>
      <c r="H239" t="s">
        <v>44</v>
      </c>
      <c r="I239">
        <v>64891</v>
      </c>
    </row>
    <row r="240" spans="1:9" x14ac:dyDescent="0.3">
      <c r="A240" t="s">
        <v>353</v>
      </c>
      <c r="B240" t="s">
        <v>349</v>
      </c>
      <c r="C240">
        <f t="shared" si="3"/>
        <v>45717</v>
      </c>
      <c r="D240">
        <v>6100</v>
      </c>
      <c r="E240" t="str">
        <f>INDEX(Accounts!$B$2:$B$9,MATCH(D240,Accounts!$A$2:$A$9,0))</f>
        <v>Marketing Expense</v>
      </c>
      <c r="F240" t="str">
        <f>INDEX(Accounts!$C$2:$C$9,MATCH(D240,Accounts!$A$2:$A$9,0))</f>
        <v>Operating Expense</v>
      </c>
      <c r="G240" t="s">
        <v>43</v>
      </c>
      <c r="H240" t="s">
        <v>44</v>
      </c>
      <c r="I240">
        <v>15847</v>
      </c>
    </row>
    <row r="241" spans="1:9" x14ac:dyDescent="0.3">
      <c r="A241" t="s">
        <v>354</v>
      </c>
      <c r="B241" t="s">
        <v>349</v>
      </c>
      <c r="C241">
        <f t="shared" si="3"/>
        <v>45717</v>
      </c>
      <c r="D241">
        <v>4000</v>
      </c>
      <c r="E241" t="str">
        <f>INDEX(Accounts!$B$2:$B$9,MATCH(D241,Accounts!$A$2:$A$9,0))</f>
        <v>Product Sales</v>
      </c>
      <c r="F241" t="str">
        <f>INDEX(Accounts!$C$2:$C$9,MATCH(D241,Accounts!$A$2:$A$9,0))</f>
        <v>Revenue</v>
      </c>
      <c r="G241" t="s">
        <v>43</v>
      </c>
      <c r="H241" t="s">
        <v>46</v>
      </c>
      <c r="I241">
        <v>45616</v>
      </c>
    </row>
    <row r="242" spans="1:9" x14ac:dyDescent="0.3">
      <c r="A242" t="s">
        <v>355</v>
      </c>
      <c r="B242" t="s">
        <v>349</v>
      </c>
      <c r="C242">
        <f t="shared" si="3"/>
        <v>45717</v>
      </c>
      <c r="D242">
        <v>6000</v>
      </c>
      <c r="E242" t="str">
        <f>INDEX(Accounts!$B$2:$B$9,MATCH(D242,Accounts!$A$2:$A$9,0))</f>
        <v>Salaries &amp; Wages</v>
      </c>
      <c r="F242" t="str">
        <f>INDEX(Accounts!$C$2:$C$9,MATCH(D242,Accounts!$A$2:$A$9,0))</f>
        <v>Operating Expense</v>
      </c>
      <c r="G242" t="s">
        <v>43</v>
      </c>
      <c r="H242" t="s">
        <v>44</v>
      </c>
      <c r="I242">
        <v>28715</v>
      </c>
    </row>
    <row r="243" spans="1:9" x14ac:dyDescent="0.3">
      <c r="A243" t="s">
        <v>356</v>
      </c>
      <c r="B243" t="s">
        <v>357</v>
      </c>
      <c r="C243">
        <f t="shared" si="3"/>
        <v>45717</v>
      </c>
      <c r="D243">
        <v>4000</v>
      </c>
      <c r="E243" t="str">
        <f>INDEX(Accounts!$B$2:$B$9,MATCH(D243,Accounts!$A$2:$A$9,0))</f>
        <v>Product Sales</v>
      </c>
      <c r="F243" t="str">
        <f>INDEX(Accounts!$C$2:$C$9,MATCH(D243,Accounts!$A$2:$A$9,0))</f>
        <v>Revenue</v>
      </c>
      <c r="G243" t="s">
        <v>41</v>
      </c>
      <c r="H243" t="s">
        <v>44</v>
      </c>
      <c r="I243">
        <v>55440</v>
      </c>
    </row>
    <row r="244" spans="1:9" x14ac:dyDescent="0.3">
      <c r="A244" t="s">
        <v>358</v>
      </c>
      <c r="B244" t="s">
        <v>357</v>
      </c>
      <c r="C244">
        <f t="shared" si="3"/>
        <v>45717</v>
      </c>
      <c r="D244">
        <v>6200</v>
      </c>
      <c r="E244" t="str">
        <f>INDEX(Accounts!$B$2:$B$9,MATCH(D244,Accounts!$A$2:$A$9,0))</f>
        <v>Rent &amp; Utilities</v>
      </c>
      <c r="F244" t="str">
        <f>INDEX(Accounts!$C$2:$C$9,MATCH(D244,Accounts!$A$2:$A$9,0))</f>
        <v>Operating Expense</v>
      </c>
      <c r="G244" t="s">
        <v>41</v>
      </c>
      <c r="H244" t="s">
        <v>46</v>
      </c>
      <c r="I244">
        <v>6394</v>
      </c>
    </row>
    <row r="245" spans="1:9" x14ac:dyDescent="0.3">
      <c r="A245" t="s">
        <v>359</v>
      </c>
      <c r="B245" t="s">
        <v>357</v>
      </c>
      <c r="C245">
        <f t="shared" si="3"/>
        <v>45717</v>
      </c>
      <c r="D245">
        <v>4000</v>
      </c>
      <c r="E245" t="str">
        <f>INDEX(Accounts!$B$2:$B$9,MATCH(D245,Accounts!$A$2:$A$9,0))</f>
        <v>Product Sales</v>
      </c>
      <c r="F245" t="str">
        <f>INDEX(Accounts!$C$2:$C$9,MATCH(D245,Accounts!$A$2:$A$9,0))</f>
        <v>Revenue</v>
      </c>
      <c r="G245" t="s">
        <v>47</v>
      </c>
      <c r="H245" t="s">
        <v>42</v>
      </c>
      <c r="I245">
        <v>179364</v>
      </c>
    </row>
    <row r="246" spans="1:9" x14ac:dyDescent="0.3">
      <c r="A246" t="s">
        <v>360</v>
      </c>
      <c r="B246" t="s">
        <v>357</v>
      </c>
      <c r="C246">
        <f t="shared" si="3"/>
        <v>45717</v>
      </c>
      <c r="D246">
        <v>4000</v>
      </c>
      <c r="E246" t="str">
        <f>INDEX(Accounts!$B$2:$B$9,MATCH(D246,Accounts!$A$2:$A$9,0))</f>
        <v>Product Sales</v>
      </c>
      <c r="F246" t="str">
        <f>INDEX(Accounts!$C$2:$C$9,MATCH(D246,Accounts!$A$2:$A$9,0))</f>
        <v>Revenue</v>
      </c>
      <c r="G246" t="s">
        <v>41</v>
      </c>
      <c r="H246" t="s">
        <v>46</v>
      </c>
      <c r="I246">
        <v>178449</v>
      </c>
    </row>
    <row r="247" spans="1:9" x14ac:dyDescent="0.3">
      <c r="A247" t="s">
        <v>361</v>
      </c>
      <c r="B247" t="s">
        <v>362</v>
      </c>
      <c r="C247">
        <f t="shared" si="3"/>
        <v>45717</v>
      </c>
      <c r="D247">
        <v>4000</v>
      </c>
      <c r="E247" t="str">
        <f>INDEX(Accounts!$B$2:$B$9,MATCH(D247,Accounts!$A$2:$A$9,0))</f>
        <v>Product Sales</v>
      </c>
      <c r="F247" t="str">
        <f>INDEX(Accounts!$C$2:$C$9,MATCH(D247,Accounts!$A$2:$A$9,0))</f>
        <v>Revenue</v>
      </c>
      <c r="G247" t="s">
        <v>45</v>
      </c>
      <c r="H247" t="s">
        <v>44</v>
      </c>
      <c r="I247">
        <v>88132</v>
      </c>
    </row>
    <row r="248" spans="1:9" x14ac:dyDescent="0.3">
      <c r="A248" t="s">
        <v>363</v>
      </c>
      <c r="B248" t="s">
        <v>362</v>
      </c>
      <c r="C248">
        <f t="shared" si="3"/>
        <v>45717</v>
      </c>
      <c r="D248">
        <v>4000</v>
      </c>
      <c r="E248" t="str">
        <f>INDEX(Accounts!$B$2:$B$9,MATCH(D248,Accounts!$A$2:$A$9,0))</f>
        <v>Product Sales</v>
      </c>
      <c r="F248" t="str">
        <f>INDEX(Accounts!$C$2:$C$9,MATCH(D248,Accounts!$A$2:$A$9,0))</f>
        <v>Revenue</v>
      </c>
      <c r="G248" t="s">
        <v>45</v>
      </c>
      <c r="H248" t="s">
        <v>44</v>
      </c>
      <c r="I248">
        <v>117018</v>
      </c>
    </row>
    <row r="249" spans="1:9" x14ac:dyDescent="0.3">
      <c r="A249" t="s">
        <v>364</v>
      </c>
      <c r="B249" t="s">
        <v>362</v>
      </c>
      <c r="C249">
        <f t="shared" si="3"/>
        <v>45717</v>
      </c>
      <c r="D249">
        <v>5000</v>
      </c>
      <c r="E249" t="str">
        <f>INDEX(Accounts!$B$2:$B$9,MATCH(D249,Accounts!$A$2:$A$9,0))</f>
        <v>Cost of Goods Sold</v>
      </c>
      <c r="F249" t="str">
        <f>INDEX(Accounts!$C$2:$C$9,MATCH(D249,Accounts!$A$2:$A$9,0))</f>
        <v>COGS</v>
      </c>
      <c r="G249" t="s">
        <v>45</v>
      </c>
      <c r="H249" t="s">
        <v>46</v>
      </c>
      <c r="I249">
        <v>47074</v>
      </c>
    </row>
    <row r="250" spans="1:9" x14ac:dyDescent="0.3">
      <c r="A250" t="s">
        <v>365</v>
      </c>
      <c r="B250" t="s">
        <v>366</v>
      </c>
      <c r="C250">
        <f t="shared" si="3"/>
        <v>45717</v>
      </c>
      <c r="D250">
        <v>4000</v>
      </c>
      <c r="E250" t="str">
        <f>INDEX(Accounts!$B$2:$B$9,MATCH(D250,Accounts!$A$2:$A$9,0))</f>
        <v>Product Sales</v>
      </c>
      <c r="F250" t="str">
        <f>INDEX(Accounts!$C$2:$C$9,MATCH(D250,Accounts!$A$2:$A$9,0))</f>
        <v>Revenue</v>
      </c>
      <c r="G250" t="s">
        <v>43</v>
      </c>
      <c r="H250" t="s">
        <v>44</v>
      </c>
      <c r="I250">
        <v>164159</v>
      </c>
    </row>
    <row r="251" spans="1:9" x14ac:dyDescent="0.3">
      <c r="A251" t="s">
        <v>367</v>
      </c>
      <c r="B251" t="s">
        <v>368</v>
      </c>
      <c r="C251">
        <f t="shared" si="3"/>
        <v>45717</v>
      </c>
      <c r="D251">
        <v>6000</v>
      </c>
      <c r="E251" t="str">
        <f>INDEX(Accounts!$B$2:$B$9,MATCH(D251,Accounts!$A$2:$A$9,0))</f>
        <v>Salaries &amp; Wages</v>
      </c>
      <c r="F251" t="str">
        <f>INDEX(Accounts!$C$2:$C$9,MATCH(D251,Accounts!$A$2:$A$9,0))</f>
        <v>Operating Expense</v>
      </c>
      <c r="G251" t="s">
        <v>48</v>
      </c>
      <c r="H251" t="s">
        <v>42</v>
      </c>
      <c r="I251">
        <v>29470</v>
      </c>
    </row>
    <row r="252" spans="1:9" x14ac:dyDescent="0.3">
      <c r="A252" t="s">
        <v>369</v>
      </c>
      <c r="B252" t="s">
        <v>368</v>
      </c>
      <c r="C252">
        <f t="shared" si="3"/>
        <v>45717</v>
      </c>
      <c r="D252">
        <v>6200</v>
      </c>
      <c r="E252" t="str">
        <f>INDEX(Accounts!$B$2:$B$9,MATCH(D252,Accounts!$A$2:$A$9,0))</f>
        <v>Rent &amp; Utilities</v>
      </c>
      <c r="F252" t="str">
        <f>INDEX(Accounts!$C$2:$C$9,MATCH(D252,Accounts!$A$2:$A$9,0))</f>
        <v>Operating Expense</v>
      </c>
      <c r="G252" t="s">
        <v>43</v>
      </c>
      <c r="H252" t="s">
        <v>46</v>
      </c>
      <c r="I252">
        <v>9022</v>
      </c>
    </row>
    <row r="253" spans="1:9" x14ac:dyDescent="0.3">
      <c r="A253" t="s">
        <v>370</v>
      </c>
      <c r="B253" t="s">
        <v>368</v>
      </c>
      <c r="C253">
        <f t="shared" si="3"/>
        <v>45717</v>
      </c>
      <c r="D253">
        <v>5000</v>
      </c>
      <c r="E253" t="str">
        <f>INDEX(Accounts!$B$2:$B$9,MATCH(D253,Accounts!$A$2:$A$9,0))</f>
        <v>Cost of Goods Sold</v>
      </c>
      <c r="F253" t="str">
        <f>INDEX(Accounts!$C$2:$C$9,MATCH(D253,Accounts!$A$2:$A$9,0))</f>
        <v>COGS</v>
      </c>
      <c r="G253" t="s">
        <v>47</v>
      </c>
      <c r="H253" t="s">
        <v>44</v>
      </c>
      <c r="I253">
        <v>12723</v>
      </c>
    </row>
    <row r="254" spans="1:9" x14ac:dyDescent="0.3">
      <c r="A254" t="s">
        <v>371</v>
      </c>
      <c r="B254" t="s">
        <v>368</v>
      </c>
      <c r="C254">
        <f t="shared" si="3"/>
        <v>45717</v>
      </c>
      <c r="D254">
        <v>4000</v>
      </c>
      <c r="E254" t="str">
        <f>INDEX(Accounts!$B$2:$B$9,MATCH(D254,Accounts!$A$2:$A$9,0))</f>
        <v>Product Sales</v>
      </c>
      <c r="F254" t="str">
        <f>INDEX(Accounts!$C$2:$C$9,MATCH(D254,Accounts!$A$2:$A$9,0))</f>
        <v>Revenue</v>
      </c>
      <c r="G254" t="s">
        <v>41</v>
      </c>
      <c r="H254" t="s">
        <v>42</v>
      </c>
      <c r="I254">
        <v>65073</v>
      </c>
    </row>
    <row r="255" spans="1:9" x14ac:dyDescent="0.3">
      <c r="A255" t="s">
        <v>372</v>
      </c>
      <c r="B255" t="s">
        <v>373</v>
      </c>
      <c r="C255">
        <f t="shared" si="3"/>
        <v>45717</v>
      </c>
      <c r="D255">
        <v>5000</v>
      </c>
      <c r="E255" t="str">
        <f>INDEX(Accounts!$B$2:$B$9,MATCH(D255,Accounts!$A$2:$A$9,0))</f>
        <v>Cost of Goods Sold</v>
      </c>
      <c r="F255" t="str">
        <f>INDEX(Accounts!$C$2:$C$9,MATCH(D255,Accounts!$A$2:$A$9,0))</f>
        <v>COGS</v>
      </c>
      <c r="G255" t="s">
        <v>45</v>
      </c>
      <c r="H255" t="s">
        <v>44</v>
      </c>
      <c r="I255">
        <v>67061</v>
      </c>
    </row>
    <row r="256" spans="1:9" x14ac:dyDescent="0.3">
      <c r="A256" t="s">
        <v>374</v>
      </c>
      <c r="B256" t="s">
        <v>373</v>
      </c>
      <c r="C256">
        <f t="shared" si="3"/>
        <v>45717</v>
      </c>
      <c r="D256">
        <v>4000</v>
      </c>
      <c r="E256" t="str">
        <f>INDEX(Accounts!$B$2:$B$9,MATCH(D256,Accounts!$A$2:$A$9,0))</f>
        <v>Product Sales</v>
      </c>
      <c r="F256" t="str">
        <f>INDEX(Accounts!$C$2:$C$9,MATCH(D256,Accounts!$A$2:$A$9,0))</f>
        <v>Revenue</v>
      </c>
      <c r="G256" t="s">
        <v>47</v>
      </c>
      <c r="H256" t="s">
        <v>46</v>
      </c>
      <c r="I256">
        <v>37856</v>
      </c>
    </row>
    <row r="257" spans="1:9" x14ac:dyDescent="0.3">
      <c r="A257" t="s">
        <v>375</v>
      </c>
      <c r="B257" t="s">
        <v>376</v>
      </c>
      <c r="C257">
        <f t="shared" si="3"/>
        <v>45717</v>
      </c>
      <c r="D257">
        <v>6000</v>
      </c>
      <c r="E257" t="str">
        <f>INDEX(Accounts!$B$2:$B$9,MATCH(D257,Accounts!$A$2:$A$9,0))</f>
        <v>Salaries &amp; Wages</v>
      </c>
      <c r="F257" t="str">
        <f>INDEX(Accounts!$C$2:$C$9,MATCH(D257,Accounts!$A$2:$A$9,0))</f>
        <v>Operating Expense</v>
      </c>
      <c r="G257" t="s">
        <v>41</v>
      </c>
      <c r="H257" t="s">
        <v>44</v>
      </c>
      <c r="I257">
        <v>16323</v>
      </c>
    </row>
    <row r="258" spans="1:9" x14ac:dyDescent="0.3">
      <c r="A258" t="s">
        <v>377</v>
      </c>
      <c r="B258" t="s">
        <v>376</v>
      </c>
      <c r="C258">
        <f t="shared" ref="C258:C321" si="4">DATE(YEAR(B258),MONTH(B258),1)</f>
        <v>45717</v>
      </c>
      <c r="D258">
        <v>5000</v>
      </c>
      <c r="E258" t="str">
        <f>INDEX(Accounts!$B$2:$B$9,MATCH(D258,Accounts!$A$2:$A$9,0))</f>
        <v>Cost of Goods Sold</v>
      </c>
      <c r="F258" t="str">
        <f>INDEX(Accounts!$C$2:$C$9,MATCH(D258,Accounts!$A$2:$A$9,0))</f>
        <v>COGS</v>
      </c>
      <c r="G258" t="s">
        <v>48</v>
      </c>
      <c r="H258" t="s">
        <v>42</v>
      </c>
      <c r="I258">
        <v>39390</v>
      </c>
    </row>
    <row r="259" spans="1:9" x14ac:dyDescent="0.3">
      <c r="A259" t="s">
        <v>378</v>
      </c>
      <c r="B259" t="s">
        <v>376</v>
      </c>
      <c r="C259">
        <f t="shared" si="4"/>
        <v>45717</v>
      </c>
      <c r="D259">
        <v>5000</v>
      </c>
      <c r="E259" t="str">
        <f>INDEX(Accounts!$B$2:$B$9,MATCH(D259,Accounts!$A$2:$A$9,0))</f>
        <v>Cost of Goods Sold</v>
      </c>
      <c r="F259" t="str">
        <f>INDEX(Accounts!$C$2:$C$9,MATCH(D259,Accounts!$A$2:$A$9,0))</f>
        <v>COGS</v>
      </c>
      <c r="G259" t="s">
        <v>45</v>
      </c>
      <c r="H259" t="s">
        <v>42</v>
      </c>
      <c r="I259">
        <v>59976</v>
      </c>
    </row>
    <row r="260" spans="1:9" x14ac:dyDescent="0.3">
      <c r="A260" t="s">
        <v>379</v>
      </c>
      <c r="B260" t="s">
        <v>380</v>
      </c>
      <c r="C260">
        <f t="shared" si="4"/>
        <v>45717</v>
      </c>
      <c r="D260">
        <v>4000</v>
      </c>
      <c r="E260" t="str">
        <f>INDEX(Accounts!$B$2:$B$9,MATCH(D260,Accounts!$A$2:$A$9,0))</f>
        <v>Product Sales</v>
      </c>
      <c r="F260" t="str">
        <f>INDEX(Accounts!$C$2:$C$9,MATCH(D260,Accounts!$A$2:$A$9,0))</f>
        <v>Revenue</v>
      </c>
      <c r="G260" t="s">
        <v>41</v>
      </c>
      <c r="H260" t="s">
        <v>42</v>
      </c>
      <c r="I260">
        <v>135352</v>
      </c>
    </row>
    <row r="261" spans="1:9" x14ac:dyDescent="0.3">
      <c r="A261" t="s">
        <v>381</v>
      </c>
      <c r="B261" t="s">
        <v>380</v>
      </c>
      <c r="C261">
        <f t="shared" si="4"/>
        <v>45717</v>
      </c>
      <c r="D261">
        <v>6000</v>
      </c>
      <c r="E261" t="str">
        <f>INDEX(Accounts!$B$2:$B$9,MATCH(D261,Accounts!$A$2:$A$9,0))</f>
        <v>Salaries &amp; Wages</v>
      </c>
      <c r="F261" t="str">
        <f>INDEX(Accounts!$C$2:$C$9,MATCH(D261,Accounts!$A$2:$A$9,0))</f>
        <v>Operating Expense</v>
      </c>
      <c r="G261" t="s">
        <v>43</v>
      </c>
      <c r="H261" t="s">
        <v>42</v>
      </c>
      <c r="I261">
        <v>27505</v>
      </c>
    </row>
    <row r="262" spans="1:9" x14ac:dyDescent="0.3">
      <c r="A262" t="s">
        <v>382</v>
      </c>
      <c r="B262" t="s">
        <v>383</v>
      </c>
      <c r="C262">
        <f t="shared" si="4"/>
        <v>45717</v>
      </c>
      <c r="D262">
        <v>6000</v>
      </c>
      <c r="E262" t="str">
        <f>INDEX(Accounts!$B$2:$B$9,MATCH(D262,Accounts!$A$2:$A$9,0))</f>
        <v>Salaries &amp; Wages</v>
      </c>
      <c r="F262" t="str">
        <f>INDEX(Accounts!$C$2:$C$9,MATCH(D262,Accounts!$A$2:$A$9,0))</f>
        <v>Operating Expense</v>
      </c>
      <c r="G262" t="s">
        <v>45</v>
      </c>
      <c r="H262" t="s">
        <v>46</v>
      </c>
      <c r="I262">
        <v>18733</v>
      </c>
    </row>
    <row r="263" spans="1:9" x14ac:dyDescent="0.3">
      <c r="A263" t="s">
        <v>384</v>
      </c>
      <c r="B263" t="s">
        <v>383</v>
      </c>
      <c r="C263">
        <f t="shared" si="4"/>
        <v>45717</v>
      </c>
      <c r="D263">
        <v>4000</v>
      </c>
      <c r="E263" t="str">
        <f>INDEX(Accounts!$B$2:$B$9,MATCH(D263,Accounts!$A$2:$A$9,0))</f>
        <v>Product Sales</v>
      </c>
      <c r="F263" t="str">
        <f>INDEX(Accounts!$C$2:$C$9,MATCH(D263,Accounts!$A$2:$A$9,0))</f>
        <v>Revenue</v>
      </c>
      <c r="G263" t="s">
        <v>45</v>
      </c>
      <c r="H263" t="s">
        <v>46</v>
      </c>
      <c r="I263">
        <v>119024</v>
      </c>
    </row>
    <row r="264" spans="1:9" x14ac:dyDescent="0.3">
      <c r="A264" t="s">
        <v>385</v>
      </c>
      <c r="B264" t="s">
        <v>383</v>
      </c>
      <c r="C264">
        <f t="shared" si="4"/>
        <v>45717</v>
      </c>
      <c r="D264">
        <v>4000</v>
      </c>
      <c r="E264" t="str">
        <f>INDEX(Accounts!$B$2:$B$9,MATCH(D264,Accounts!$A$2:$A$9,0))</f>
        <v>Product Sales</v>
      </c>
      <c r="F264" t="str">
        <f>INDEX(Accounts!$C$2:$C$9,MATCH(D264,Accounts!$A$2:$A$9,0))</f>
        <v>Revenue</v>
      </c>
      <c r="G264" t="s">
        <v>43</v>
      </c>
      <c r="H264" t="s">
        <v>42</v>
      </c>
      <c r="I264">
        <v>151403</v>
      </c>
    </row>
    <row r="265" spans="1:9" x14ac:dyDescent="0.3">
      <c r="A265" t="s">
        <v>386</v>
      </c>
      <c r="B265" t="s">
        <v>383</v>
      </c>
      <c r="C265">
        <f t="shared" si="4"/>
        <v>45717</v>
      </c>
      <c r="D265">
        <v>5000</v>
      </c>
      <c r="E265" t="str">
        <f>INDEX(Accounts!$B$2:$B$9,MATCH(D265,Accounts!$A$2:$A$9,0))</f>
        <v>Cost of Goods Sold</v>
      </c>
      <c r="F265" t="str">
        <f>INDEX(Accounts!$C$2:$C$9,MATCH(D265,Accounts!$A$2:$A$9,0))</f>
        <v>COGS</v>
      </c>
      <c r="G265" t="s">
        <v>41</v>
      </c>
      <c r="H265" t="s">
        <v>46</v>
      </c>
      <c r="I265">
        <v>46871</v>
      </c>
    </row>
    <row r="266" spans="1:9" x14ac:dyDescent="0.3">
      <c r="A266" t="s">
        <v>387</v>
      </c>
      <c r="B266" t="s">
        <v>388</v>
      </c>
      <c r="C266">
        <f t="shared" si="4"/>
        <v>45717</v>
      </c>
      <c r="D266">
        <v>6300</v>
      </c>
      <c r="E266" t="str">
        <f>INDEX(Accounts!$B$2:$B$9,MATCH(D266,Accounts!$A$2:$A$9,0))</f>
        <v>Logistics Expense</v>
      </c>
      <c r="F266" t="str">
        <f>INDEX(Accounts!$C$2:$C$9,MATCH(D266,Accounts!$A$2:$A$9,0))</f>
        <v>Operating Expense</v>
      </c>
      <c r="G266" t="s">
        <v>41</v>
      </c>
      <c r="H266" t="s">
        <v>42</v>
      </c>
      <c r="I266">
        <v>9032</v>
      </c>
    </row>
    <row r="267" spans="1:9" x14ac:dyDescent="0.3">
      <c r="A267" t="s">
        <v>389</v>
      </c>
      <c r="B267" t="s">
        <v>388</v>
      </c>
      <c r="C267">
        <f t="shared" si="4"/>
        <v>45717</v>
      </c>
      <c r="D267">
        <v>6100</v>
      </c>
      <c r="E267" t="str">
        <f>INDEX(Accounts!$B$2:$B$9,MATCH(D267,Accounts!$A$2:$A$9,0))</f>
        <v>Marketing Expense</v>
      </c>
      <c r="F267" t="str">
        <f>INDEX(Accounts!$C$2:$C$9,MATCH(D267,Accounts!$A$2:$A$9,0))</f>
        <v>Operating Expense</v>
      </c>
      <c r="G267" t="s">
        <v>43</v>
      </c>
      <c r="H267" t="s">
        <v>42</v>
      </c>
      <c r="I267">
        <v>8636</v>
      </c>
    </row>
    <row r="268" spans="1:9" x14ac:dyDescent="0.3">
      <c r="A268" t="s">
        <v>390</v>
      </c>
      <c r="B268" t="s">
        <v>388</v>
      </c>
      <c r="C268">
        <f t="shared" si="4"/>
        <v>45717</v>
      </c>
      <c r="D268">
        <v>6300</v>
      </c>
      <c r="E268" t="str">
        <f>INDEX(Accounts!$B$2:$B$9,MATCH(D268,Accounts!$A$2:$A$9,0))</f>
        <v>Logistics Expense</v>
      </c>
      <c r="F268" t="str">
        <f>INDEX(Accounts!$C$2:$C$9,MATCH(D268,Accounts!$A$2:$A$9,0))</f>
        <v>Operating Expense</v>
      </c>
      <c r="G268" t="s">
        <v>45</v>
      </c>
      <c r="H268" t="s">
        <v>42</v>
      </c>
      <c r="I268">
        <v>6956</v>
      </c>
    </row>
    <row r="269" spans="1:9" x14ac:dyDescent="0.3">
      <c r="A269" t="s">
        <v>391</v>
      </c>
      <c r="B269" t="s">
        <v>392</v>
      </c>
      <c r="C269">
        <f t="shared" si="4"/>
        <v>45717</v>
      </c>
      <c r="D269">
        <v>4000</v>
      </c>
      <c r="E269" t="str">
        <f>INDEX(Accounts!$B$2:$B$9,MATCH(D269,Accounts!$A$2:$A$9,0))</f>
        <v>Product Sales</v>
      </c>
      <c r="F269" t="str">
        <f>INDEX(Accounts!$C$2:$C$9,MATCH(D269,Accounts!$A$2:$A$9,0))</f>
        <v>Revenue</v>
      </c>
      <c r="G269" t="s">
        <v>43</v>
      </c>
      <c r="H269" t="s">
        <v>46</v>
      </c>
      <c r="I269">
        <v>72200</v>
      </c>
    </row>
    <row r="270" spans="1:9" x14ac:dyDescent="0.3">
      <c r="A270" t="s">
        <v>393</v>
      </c>
      <c r="B270" t="s">
        <v>392</v>
      </c>
      <c r="C270">
        <f t="shared" si="4"/>
        <v>45717</v>
      </c>
      <c r="D270">
        <v>5000</v>
      </c>
      <c r="E270" t="str">
        <f>INDEX(Accounts!$B$2:$B$9,MATCH(D270,Accounts!$A$2:$A$9,0))</f>
        <v>Cost of Goods Sold</v>
      </c>
      <c r="F270" t="str">
        <f>INDEX(Accounts!$C$2:$C$9,MATCH(D270,Accounts!$A$2:$A$9,0))</f>
        <v>COGS</v>
      </c>
      <c r="G270" t="s">
        <v>41</v>
      </c>
      <c r="H270" t="s">
        <v>44</v>
      </c>
      <c r="I270">
        <v>62225</v>
      </c>
    </row>
    <row r="271" spans="1:9" x14ac:dyDescent="0.3">
      <c r="A271" t="s">
        <v>394</v>
      </c>
      <c r="B271" t="s">
        <v>392</v>
      </c>
      <c r="C271">
        <f t="shared" si="4"/>
        <v>45717</v>
      </c>
      <c r="D271">
        <v>4000</v>
      </c>
      <c r="E271" t="str">
        <f>INDEX(Accounts!$B$2:$B$9,MATCH(D271,Accounts!$A$2:$A$9,0))</f>
        <v>Product Sales</v>
      </c>
      <c r="F271" t="str">
        <f>INDEX(Accounts!$C$2:$C$9,MATCH(D271,Accounts!$A$2:$A$9,0))</f>
        <v>Revenue</v>
      </c>
      <c r="G271" t="s">
        <v>45</v>
      </c>
      <c r="H271" t="s">
        <v>42</v>
      </c>
      <c r="I271">
        <v>170849</v>
      </c>
    </row>
    <row r="272" spans="1:9" x14ac:dyDescent="0.3">
      <c r="A272" t="s">
        <v>395</v>
      </c>
      <c r="B272" t="s">
        <v>396</v>
      </c>
      <c r="C272">
        <f t="shared" si="4"/>
        <v>45717</v>
      </c>
      <c r="D272">
        <v>6200</v>
      </c>
      <c r="E272" t="str">
        <f>INDEX(Accounts!$B$2:$B$9,MATCH(D272,Accounts!$A$2:$A$9,0))</f>
        <v>Rent &amp; Utilities</v>
      </c>
      <c r="F272" t="str">
        <f>INDEX(Accounts!$C$2:$C$9,MATCH(D272,Accounts!$A$2:$A$9,0))</f>
        <v>Operating Expense</v>
      </c>
      <c r="G272" t="s">
        <v>41</v>
      </c>
      <c r="H272" t="s">
        <v>44</v>
      </c>
      <c r="I272">
        <v>10916</v>
      </c>
    </row>
    <row r="273" spans="1:9" x14ac:dyDescent="0.3">
      <c r="A273" t="s">
        <v>397</v>
      </c>
      <c r="B273" t="s">
        <v>396</v>
      </c>
      <c r="C273">
        <f t="shared" si="4"/>
        <v>45717</v>
      </c>
      <c r="D273">
        <v>6400</v>
      </c>
      <c r="E273" t="str">
        <f>INDEX(Accounts!$B$2:$B$9,MATCH(D273,Accounts!$A$2:$A$9,0))</f>
        <v>Software &amp; Admin</v>
      </c>
      <c r="F273" t="str">
        <f>INDEX(Accounts!$C$2:$C$9,MATCH(D273,Accounts!$A$2:$A$9,0))</f>
        <v>Operating Expense</v>
      </c>
      <c r="G273" t="s">
        <v>41</v>
      </c>
      <c r="H273" t="s">
        <v>42</v>
      </c>
      <c r="I273">
        <v>7511</v>
      </c>
    </row>
    <row r="274" spans="1:9" x14ac:dyDescent="0.3">
      <c r="A274" t="s">
        <v>398</v>
      </c>
      <c r="B274" t="s">
        <v>396</v>
      </c>
      <c r="C274">
        <f t="shared" si="4"/>
        <v>45717</v>
      </c>
      <c r="D274">
        <v>6300</v>
      </c>
      <c r="E274" t="str">
        <f>INDEX(Accounts!$B$2:$B$9,MATCH(D274,Accounts!$A$2:$A$9,0))</f>
        <v>Logistics Expense</v>
      </c>
      <c r="F274" t="str">
        <f>INDEX(Accounts!$C$2:$C$9,MATCH(D274,Accounts!$A$2:$A$9,0))</f>
        <v>Operating Expense</v>
      </c>
      <c r="G274" t="s">
        <v>41</v>
      </c>
      <c r="H274" t="s">
        <v>44</v>
      </c>
      <c r="I274">
        <v>3411</v>
      </c>
    </row>
    <row r="275" spans="1:9" x14ac:dyDescent="0.3">
      <c r="A275" t="s">
        <v>399</v>
      </c>
      <c r="B275" t="s">
        <v>396</v>
      </c>
      <c r="C275">
        <f t="shared" si="4"/>
        <v>45717</v>
      </c>
      <c r="D275">
        <v>5000</v>
      </c>
      <c r="E275" t="str">
        <f>INDEX(Accounts!$B$2:$B$9,MATCH(D275,Accounts!$A$2:$A$9,0))</f>
        <v>Cost of Goods Sold</v>
      </c>
      <c r="F275" t="str">
        <f>INDEX(Accounts!$C$2:$C$9,MATCH(D275,Accounts!$A$2:$A$9,0))</f>
        <v>COGS</v>
      </c>
      <c r="G275" t="s">
        <v>45</v>
      </c>
      <c r="H275" t="s">
        <v>44</v>
      </c>
      <c r="I275">
        <v>35968</v>
      </c>
    </row>
    <row r="276" spans="1:9" x14ac:dyDescent="0.3">
      <c r="A276" t="s">
        <v>400</v>
      </c>
      <c r="B276" t="s">
        <v>396</v>
      </c>
      <c r="C276">
        <f t="shared" si="4"/>
        <v>45717</v>
      </c>
      <c r="D276">
        <v>6100</v>
      </c>
      <c r="E276" t="str">
        <f>INDEX(Accounts!$B$2:$B$9,MATCH(D276,Accounts!$A$2:$A$9,0))</f>
        <v>Marketing Expense</v>
      </c>
      <c r="F276" t="str">
        <f>INDEX(Accounts!$C$2:$C$9,MATCH(D276,Accounts!$A$2:$A$9,0))</f>
        <v>Operating Expense</v>
      </c>
      <c r="G276" t="s">
        <v>45</v>
      </c>
      <c r="H276" t="s">
        <v>44</v>
      </c>
      <c r="I276">
        <v>13159</v>
      </c>
    </row>
    <row r="277" spans="1:9" x14ac:dyDescent="0.3">
      <c r="A277" t="s">
        <v>401</v>
      </c>
      <c r="B277" t="s">
        <v>396</v>
      </c>
      <c r="C277">
        <f t="shared" si="4"/>
        <v>45717</v>
      </c>
      <c r="D277">
        <v>5000</v>
      </c>
      <c r="E277" t="str">
        <f>INDEX(Accounts!$B$2:$B$9,MATCH(D277,Accounts!$A$2:$A$9,0))</f>
        <v>Cost of Goods Sold</v>
      </c>
      <c r="F277" t="str">
        <f>INDEX(Accounts!$C$2:$C$9,MATCH(D277,Accounts!$A$2:$A$9,0))</f>
        <v>COGS</v>
      </c>
      <c r="G277" t="s">
        <v>45</v>
      </c>
      <c r="H277" t="s">
        <v>44</v>
      </c>
      <c r="I277">
        <v>32435</v>
      </c>
    </row>
    <row r="278" spans="1:9" x14ac:dyDescent="0.3">
      <c r="A278" t="s">
        <v>402</v>
      </c>
      <c r="B278" t="s">
        <v>403</v>
      </c>
      <c r="C278">
        <f t="shared" si="4"/>
        <v>45717</v>
      </c>
      <c r="D278">
        <v>6300</v>
      </c>
      <c r="E278" t="str">
        <f>INDEX(Accounts!$B$2:$B$9,MATCH(D278,Accounts!$A$2:$A$9,0))</f>
        <v>Logistics Expense</v>
      </c>
      <c r="F278" t="str">
        <f>INDEX(Accounts!$C$2:$C$9,MATCH(D278,Accounts!$A$2:$A$9,0))</f>
        <v>Operating Expense</v>
      </c>
      <c r="G278" t="s">
        <v>41</v>
      </c>
      <c r="H278" t="s">
        <v>44</v>
      </c>
      <c r="I278">
        <v>11951</v>
      </c>
    </row>
    <row r="279" spans="1:9" x14ac:dyDescent="0.3">
      <c r="A279" t="s">
        <v>404</v>
      </c>
      <c r="B279" t="s">
        <v>403</v>
      </c>
      <c r="C279">
        <f t="shared" si="4"/>
        <v>45717</v>
      </c>
      <c r="D279">
        <v>5000</v>
      </c>
      <c r="E279" t="str">
        <f>INDEX(Accounts!$B$2:$B$9,MATCH(D279,Accounts!$A$2:$A$9,0))</f>
        <v>Cost of Goods Sold</v>
      </c>
      <c r="F279" t="str">
        <f>INDEX(Accounts!$C$2:$C$9,MATCH(D279,Accounts!$A$2:$A$9,0))</f>
        <v>COGS</v>
      </c>
      <c r="G279" t="s">
        <v>41</v>
      </c>
      <c r="H279" t="s">
        <v>42</v>
      </c>
      <c r="I279">
        <v>33903</v>
      </c>
    </row>
    <row r="280" spans="1:9" x14ac:dyDescent="0.3">
      <c r="A280" t="s">
        <v>405</v>
      </c>
      <c r="B280" t="s">
        <v>403</v>
      </c>
      <c r="C280">
        <f t="shared" si="4"/>
        <v>45717</v>
      </c>
      <c r="D280">
        <v>5000</v>
      </c>
      <c r="E280" t="str">
        <f>INDEX(Accounts!$B$2:$B$9,MATCH(D280,Accounts!$A$2:$A$9,0))</f>
        <v>Cost of Goods Sold</v>
      </c>
      <c r="F280" t="str">
        <f>INDEX(Accounts!$C$2:$C$9,MATCH(D280,Accounts!$A$2:$A$9,0))</f>
        <v>COGS</v>
      </c>
      <c r="G280" t="s">
        <v>41</v>
      </c>
      <c r="H280" t="s">
        <v>44</v>
      </c>
      <c r="I280">
        <v>46759</v>
      </c>
    </row>
    <row r="281" spans="1:9" x14ac:dyDescent="0.3">
      <c r="A281" t="s">
        <v>406</v>
      </c>
      <c r="B281" t="s">
        <v>407</v>
      </c>
      <c r="C281">
        <f t="shared" si="4"/>
        <v>45717</v>
      </c>
      <c r="D281">
        <v>6300</v>
      </c>
      <c r="E281" t="str">
        <f>INDEX(Accounts!$B$2:$B$9,MATCH(D281,Accounts!$A$2:$A$9,0))</f>
        <v>Logistics Expense</v>
      </c>
      <c r="F281" t="str">
        <f>INDEX(Accounts!$C$2:$C$9,MATCH(D281,Accounts!$A$2:$A$9,0))</f>
        <v>Operating Expense</v>
      </c>
      <c r="G281" t="s">
        <v>47</v>
      </c>
      <c r="H281" t="s">
        <v>44</v>
      </c>
      <c r="I281">
        <v>9394</v>
      </c>
    </row>
    <row r="282" spans="1:9" x14ac:dyDescent="0.3">
      <c r="A282" t="s">
        <v>408</v>
      </c>
      <c r="B282" t="s">
        <v>407</v>
      </c>
      <c r="C282">
        <f t="shared" si="4"/>
        <v>45717</v>
      </c>
      <c r="D282">
        <v>4000</v>
      </c>
      <c r="E282" t="str">
        <f>INDEX(Accounts!$B$2:$B$9,MATCH(D282,Accounts!$A$2:$A$9,0))</f>
        <v>Product Sales</v>
      </c>
      <c r="F282" t="str">
        <f>INDEX(Accounts!$C$2:$C$9,MATCH(D282,Accounts!$A$2:$A$9,0))</f>
        <v>Revenue</v>
      </c>
      <c r="G282" t="s">
        <v>41</v>
      </c>
      <c r="H282" t="s">
        <v>44</v>
      </c>
      <c r="I282">
        <v>119906</v>
      </c>
    </row>
    <row r="283" spans="1:9" x14ac:dyDescent="0.3">
      <c r="A283" t="s">
        <v>409</v>
      </c>
      <c r="B283" t="s">
        <v>407</v>
      </c>
      <c r="C283">
        <f t="shared" si="4"/>
        <v>45717</v>
      </c>
      <c r="D283">
        <v>6000</v>
      </c>
      <c r="E283" t="str">
        <f>INDEX(Accounts!$B$2:$B$9,MATCH(D283,Accounts!$A$2:$A$9,0))</f>
        <v>Salaries &amp; Wages</v>
      </c>
      <c r="F283" t="str">
        <f>INDEX(Accounts!$C$2:$C$9,MATCH(D283,Accounts!$A$2:$A$9,0))</f>
        <v>Operating Expense</v>
      </c>
      <c r="G283" t="s">
        <v>43</v>
      </c>
      <c r="H283" t="s">
        <v>42</v>
      </c>
      <c r="I283">
        <v>25155</v>
      </c>
    </row>
    <row r="284" spans="1:9" x14ac:dyDescent="0.3">
      <c r="A284" t="s">
        <v>410</v>
      </c>
      <c r="B284" t="s">
        <v>407</v>
      </c>
      <c r="C284">
        <f t="shared" si="4"/>
        <v>45717</v>
      </c>
      <c r="D284">
        <v>4000</v>
      </c>
      <c r="E284" t="str">
        <f>INDEX(Accounts!$B$2:$B$9,MATCH(D284,Accounts!$A$2:$A$9,0))</f>
        <v>Product Sales</v>
      </c>
      <c r="F284" t="str">
        <f>INDEX(Accounts!$C$2:$C$9,MATCH(D284,Accounts!$A$2:$A$9,0))</f>
        <v>Revenue</v>
      </c>
      <c r="G284" t="s">
        <v>45</v>
      </c>
      <c r="H284" t="s">
        <v>44</v>
      </c>
      <c r="I284">
        <v>63716</v>
      </c>
    </row>
    <row r="285" spans="1:9" x14ac:dyDescent="0.3">
      <c r="A285" t="s">
        <v>411</v>
      </c>
      <c r="B285" t="s">
        <v>407</v>
      </c>
      <c r="C285">
        <f t="shared" si="4"/>
        <v>45717</v>
      </c>
      <c r="D285">
        <v>6000</v>
      </c>
      <c r="E285" t="str">
        <f>INDEX(Accounts!$B$2:$B$9,MATCH(D285,Accounts!$A$2:$A$9,0))</f>
        <v>Salaries &amp; Wages</v>
      </c>
      <c r="F285" t="str">
        <f>INDEX(Accounts!$C$2:$C$9,MATCH(D285,Accounts!$A$2:$A$9,0))</f>
        <v>Operating Expense</v>
      </c>
      <c r="G285" t="s">
        <v>41</v>
      </c>
      <c r="H285" t="s">
        <v>46</v>
      </c>
      <c r="I285">
        <v>19344</v>
      </c>
    </row>
    <row r="286" spans="1:9" x14ac:dyDescent="0.3">
      <c r="A286" t="s">
        <v>412</v>
      </c>
      <c r="B286" t="s">
        <v>413</v>
      </c>
      <c r="C286">
        <f t="shared" si="4"/>
        <v>45717</v>
      </c>
      <c r="D286">
        <v>4000</v>
      </c>
      <c r="E286" t="str">
        <f>INDEX(Accounts!$B$2:$B$9,MATCH(D286,Accounts!$A$2:$A$9,0))</f>
        <v>Product Sales</v>
      </c>
      <c r="F286" t="str">
        <f>INDEX(Accounts!$C$2:$C$9,MATCH(D286,Accounts!$A$2:$A$9,0))</f>
        <v>Revenue</v>
      </c>
      <c r="G286" t="s">
        <v>41</v>
      </c>
      <c r="H286" t="s">
        <v>46</v>
      </c>
      <c r="I286">
        <v>31758</v>
      </c>
    </row>
    <row r="287" spans="1:9" x14ac:dyDescent="0.3">
      <c r="A287" t="s">
        <v>414</v>
      </c>
      <c r="B287" t="s">
        <v>413</v>
      </c>
      <c r="C287">
        <f t="shared" si="4"/>
        <v>45717</v>
      </c>
      <c r="D287">
        <v>6100</v>
      </c>
      <c r="E287" t="str">
        <f>INDEX(Accounts!$B$2:$B$9,MATCH(D287,Accounts!$A$2:$A$9,0))</f>
        <v>Marketing Expense</v>
      </c>
      <c r="F287" t="str">
        <f>INDEX(Accounts!$C$2:$C$9,MATCH(D287,Accounts!$A$2:$A$9,0))</f>
        <v>Operating Expense</v>
      </c>
      <c r="G287" t="s">
        <v>43</v>
      </c>
      <c r="H287" t="s">
        <v>46</v>
      </c>
      <c r="I287">
        <v>10692</v>
      </c>
    </row>
    <row r="288" spans="1:9" x14ac:dyDescent="0.3">
      <c r="A288" t="s">
        <v>415</v>
      </c>
      <c r="B288" t="s">
        <v>413</v>
      </c>
      <c r="C288">
        <f t="shared" si="4"/>
        <v>45717</v>
      </c>
      <c r="D288">
        <v>6400</v>
      </c>
      <c r="E288" t="str">
        <f>INDEX(Accounts!$B$2:$B$9,MATCH(D288,Accounts!$A$2:$A$9,0))</f>
        <v>Software &amp; Admin</v>
      </c>
      <c r="F288" t="str">
        <f>INDEX(Accounts!$C$2:$C$9,MATCH(D288,Accounts!$A$2:$A$9,0))</f>
        <v>Operating Expense</v>
      </c>
      <c r="G288" t="s">
        <v>47</v>
      </c>
      <c r="H288" t="s">
        <v>46</v>
      </c>
      <c r="I288">
        <v>1430</v>
      </c>
    </row>
    <row r="289" spans="1:9" x14ac:dyDescent="0.3">
      <c r="A289" t="s">
        <v>416</v>
      </c>
      <c r="B289" t="s">
        <v>417</v>
      </c>
      <c r="C289">
        <f t="shared" si="4"/>
        <v>45717</v>
      </c>
      <c r="D289">
        <v>4100</v>
      </c>
      <c r="E289" t="str">
        <f>INDEX(Accounts!$B$2:$B$9,MATCH(D289,Accounts!$A$2:$A$9,0))</f>
        <v>Sales Returns &amp; Discounts</v>
      </c>
      <c r="F289" t="str">
        <f>INDEX(Accounts!$C$2:$C$9,MATCH(D289,Accounts!$A$2:$A$9,0))</f>
        <v>Contra Revenue</v>
      </c>
      <c r="G289" t="s">
        <v>48</v>
      </c>
      <c r="H289" t="s">
        <v>46</v>
      </c>
      <c r="I289">
        <v>5097</v>
      </c>
    </row>
    <row r="290" spans="1:9" x14ac:dyDescent="0.3">
      <c r="A290" t="s">
        <v>418</v>
      </c>
      <c r="B290" t="s">
        <v>417</v>
      </c>
      <c r="C290">
        <f t="shared" si="4"/>
        <v>45717</v>
      </c>
      <c r="D290">
        <v>5000</v>
      </c>
      <c r="E290" t="str">
        <f>INDEX(Accounts!$B$2:$B$9,MATCH(D290,Accounts!$A$2:$A$9,0))</f>
        <v>Cost of Goods Sold</v>
      </c>
      <c r="F290" t="str">
        <f>INDEX(Accounts!$C$2:$C$9,MATCH(D290,Accounts!$A$2:$A$9,0))</f>
        <v>COGS</v>
      </c>
      <c r="G290" t="s">
        <v>45</v>
      </c>
      <c r="H290" t="s">
        <v>44</v>
      </c>
      <c r="I290">
        <v>15100</v>
      </c>
    </row>
    <row r="291" spans="1:9" x14ac:dyDescent="0.3">
      <c r="A291" t="s">
        <v>419</v>
      </c>
      <c r="B291" t="s">
        <v>417</v>
      </c>
      <c r="C291">
        <f t="shared" si="4"/>
        <v>45717</v>
      </c>
      <c r="D291">
        <v>6100</v>
      </c>
      <c r="E291" t="str">
        <f>INDEX(Accounts!$B$2:$B$9,MATCH(D291,Accounts!$A$2:$A$9,0))</f>
        <v>Marketing Expense</v>
      </c>
      <c r="F291" t="str">
        <f>INDEX(Accounts!$C$2:$C$9,MATCH(D291,Accounts!$A$2:$A$9,0))</f>
        <v>Operating Expense</v>
      </c>
      <c r="G291" t="s">
        <v>41</v>
      </c>
      <c r="H291" t="s">
        <v>44</v>
      </c>
      <c r="I291">
        <v>12730</v>
      </c>
    </row>
    <row r="292" spans="1:9" x14ac:dyDescent="0.3">
      <c r="A292" t="s">
        <v>420</v>
      </c>
      <c r="B292" t="s">
        <v>417</v>
      </c>
      <c r="C292">
        <f t="shared" si="4"/>
        <v>45717</v>
      </c>
      <c r="D292">
        <v>4000</v>
      </c>
      <c r="E292" t="str">
        <f>INDEX(Accounts!$B$2:$B$9,MATCH(D292,Accounts!$A$2:$A$9,0))</f>
        <v>Product Sales</v>
      </c>
      <c r="F292" t="str">
        <f>INDEX(Accounts!$C$2:$C$9,MATCH(D292,Accounts!$A$2:$A$9,0))</f>
        <v>Revenue</v>
      </c>
      <c r="G292" t="s">
        <v>47</v>
      </c>
      <c r="H292" t="s">
        <v>44</v>
      </c>
      <c r="I292">
        <v>63680</v>
      </c>
    </row>
    <row r="293" spans="1:9" x14ac:dyDescent="0.3">
      <c r="A293" t="s">
        <v>421</v>
      </c>
      <c r="B293" t="s">
        <v>422</v>
      </c>
      <c r="C293">
        <f t="shared" si="4"/>
        <v>45717</v>
      </c>
      <c r="D293">
        <v>4000</v>
      </c>
      <c r="E293" t="str">
        <f>INDEX(Accounts!$B$2:$B$9,MATCH(D293,Accounts!$A$2:$A$9,0))</f>
        <v>Product Sales</v>
      </c>
      <c r="F293" t="str">
        <f>INDEX(Accounts!$C$2:$C$9,MATCH(D293,Accounts!$A$2:$A$9,0))</f>
        <v>Revenue</v>
      </c>
      <c r="G293" t="s">
        <v>45</v>
      </c>
      <c r="H293" t="s">
        <v>46</v>
      </c>
      <c r="I293">
        <v>60855</v>
      </c>
    </row>
    <row r="294" spans="1:9" x14ac:dyDescent="0.3">
      <c r="A294" t="s">
        <v>423</v>
      </c>
      <c r="B294" t="s">
        <v>422</v>
      </c>
      <c r="C294">
        <f t="shared" si="4"/>
        <v>45717</v>
      </c>
      <c r="D294">
        <v>6400</v>
      </c>
      <c r="E294" t="str">
        <f>INDEX(Accounts!$B$2:$B$9,MATCH(D294,Accounts!$A$2:$A$9,0))</f>
        <v>Software &amp; Admin</v>
      </c>
      <c r="F294" t="str">
        <f>INDEX(Accounts!$C$2:$C$9,MATCH(D294,Accounts!$A$2:$A$9,0))</f>
        <v>Operating Expense</v>
      </c>
      <c r="G294" t="s">
        <v>41</v>
      </c>
      <c r="H294" t="s">
        <v>44</v>
      </c>
      <c r="I294">
        <v>4990</v>
      </c>
    </row>
    <row r="295" spans="1:9" x14ac:dyDescent="0.3">
      <c r="A295" t="s">
        <v>424</v>
      </c>
      <c r="B295" t="s">
        <v>422</v>
      </c>
      <c r="C295">
        <f t="shared" si="4"/>
        <v>45717</v>
      </c>
      <c r="D295">
        <v>6300</v>
      </c>
      <c r="E295" t="str">
        <f>INDEX(Accounts!$B$2:$B$9,MATCH(D295,Accounts!$A$2:$A$9,0))</f>
        <v>Logistics Expense</v>
      </c>
      <c r="F295" t="str">
        <f>INDEX(Accounts!$C$2:$C$9,MATCH(D295,Accounts!$A$2:$A$9,0))</f>
        <v>Operating Expense</v>
      </c>
      <c r="G295" t="s">
        <v>47</v>
      </c>
      <c r="H295" t="s">
        <v>44</v>
      </c>
      <c r="I295">
        <v>1974</v>
      </c>
    </row>
    <row r="296" spans="1:9" x14ac:dyDescent="0.3">
      <c r="A296" t="s">
        <v>425</v>
      </c>
      <c r="B296" t="s">
        <v>422</v>
      </c>
      <c r="C296">
        <f t="shared" si="4"/>
        <v>45717</v>
      </c>
      <c r="D296">
        <v>5000</v>
      </c>
      <c r="E296" t="str">
        <f>INDEX(Accounts!$B$2:$B$9,MATCH(D296,Accounts!$A$2:$A$9,0))</f>
        <v>Cost of Goods Sold</v>
      </c>
      <c r="F296" t="str">
        <f>INDEX(Accounts!$C$2:$C$9,MATCH(D296,Accounts!$A$2:$A$9,0))</f>
        <v>COGS</v>
      </c>
      <c r="G296" t="s">
        <v>41</v>
      </c>
      <c r="H296" t="s">
        <v>46</v>
      </c>
      <c r="I296">
        <v>15459</v>
      </c>
    </row>
    <row r="297" spans="1:9" x14ac:dyDescent="0.3">
      <c r="A297" t="s">
        <v>426</v>
      </c>
      <c r="B297" t="s">
        <v>422</v>
      </c>
      <c r="C297">
        <f t="shared" si="4"/>
        <v>45717</v>
      </c>
      <c r="D297">
        <v>4000</v>
      </c>
      <c r="E297" t="str">
        <f>INDEX(Accounts!$B$2:$B$9,MATCH(D297,Accounts!$A$2:$A$9,0))</f>
        <v>Product Sales</v>
      </c>
      <c r="F297" t="str">
        <f>INDEX(Accounts!$C$2:$C$9,MATCH(D297,Accounts!$A$2:$A$9,0))</f>
        <v>Revenue</v>
      </c>
      <c r="G297" t="s">
        <v>41</v>
      </c>
      <c r="H297" t="s">
        <v>42</v>
      </c>
      <c r="I297">
        <v>60975</v>
      </c>
    </row>
    <row r="298" spans="1:9" x14ac:dyDescent="0.3">
      <c r="A298" t="s">
        <v>427</v>
      </c>
      <c r="B298" t="s">
        <v>422</v>
      </c>
      <c r="C298">
        <f t="shared" si="4"/>
        <v>45717</v>
      </c>
      <c r="D298">
        <v>6000</v>
      </c>
      <c r="E298" t="str">
        <f>INDEX(Accounts!$B$2:$B$9,MATCH(D298,Accounts!$A$2:$A$9,0))</f>
        <v>Salaries &amp; Wages</v>
      </c>
      <c r="F298" t="str">
        <f>INDEX(Accounts!$C$2:$C$9,MATCH(D298,Accounts!$A$2:$A$9,0))</f>
        <v>Operating Expense</v>
      </c>
      <c r="G298" t="s">
        <v>43</v>
      </c>
      <c r="H298" t="s">
        <v>46</v>
      </c>
      <c r="I298">
        <v>23163</v>
      </c>
    </row>
    <row r="299" spans="1:9" x14ac:dyDescent="0.3">
      <c r="A299" t="s">
        <v>428</v>
      </c>
      <c r="B299" t="s">
        <v>429</v>
      </c>
      <c r="C299">
        <f t="shared" si="4"/>
        <v>45717</v>
      </c>
      <c r="D299">
        <v>4000</v>
      </c>
      <c r="E299" t="str">
        <f>INDEX(Accounts!$B$2:$B$9,MATCH(D299,Accounts!$A$2:$A$9,0))</f>
        <v>Product Sales</v>
      </c>
      <c r="F299" t="str">
        <f>INDEX(Accounts!$C$2:$C$9,MATCH(D299,Accounts!$A$2:$A$9,0))</f>
        <v>Revenue</v>
      </c>
      <c r="G299" t="s">
        <v>45</v>
      </c>
      <c r="H299" t="s">
        <v>42</v>
      </c>
      <c r="I299">
        <v>105984</v>
      </c>
    </row>
    <row r="300" spans="1:9" x14ac:dyDescent="0.3">
      <c r="A300" t="s">
        <v>430</v>
      </c>
      <c r="B300" t="s">
        <v>429</v>
      </c>
      <c r="C300">
        <f t="shared" si="4"/>
        <v>45717</v>
      </c>
      <c r="D300">
        <v>4000</v>
      </c>
      <c r="E300" t="str">
        <f>INDEX(Accounts!$B$2:$B$9,MATCH(D300,Accounts!$A$2:$A$9,0))</f>
        <v>Product Sales</v>
      </c>
      <c r="F300" t="str">
        <f>INDEX(Accounts!$C$2:$C$9,MATCH(D300,Accounts!$A$2:$A$9,0))</f>
        <v>Revenue</v>
      </c>
      <c r="G300" t="s">
        <v>45</v>
      </c>
      <c r="H300" t="s">
        <v>46</v>
      </c>
      <c r="I300">
        <v>64547</v>
      </c>
    </row>
    <row r="301" spans="1:9" x14ac:dyDescent="0.3">
      <c r="A301" t="s">
        <v>431</v>
      </c>
      <c r="B301" t="s">
        <v>432</v>
      </c>
      <c r="C301">
        <f t="shared" si="4"/>
        <v>45717</v>
      </c>
      <c r="D301">
        <v>4000</v>
      </c>
      <c r="E301" t="str">
        <f>INDEX(Accounts!$B$2:$B$9,MATCH(D301,Accounts!$A$2:$A$9,0))</f>
        <v>Product Sales</v>
      </c>
      <c r="F301" t="str">
        <f>INDEX(Accounts!$C$2:$C$9,MATCH(D301,Accounts!$A$2:$A$9,0))</f>
        <v>Revenue</v>
      </c>
      <c r="G301" t="s">
        <v>41</v>
      </c>
      <c r="H301" t="s">
        <v>46</v>
      </c>
      <c r="I301">
        <v>110984</v>
      </c>
    </row>
    <row r="302" spans="1:9" x14ac:dyDescent="0.3">
      <c r="A302" t="s">
        <v>433</v>
      </c>
      <c r="B302" t="s">
        <v>432</v>
      </c>
      <c r="C302">
        <f t="shared" si="4"/>
        <v>45717</v>
      </c>
      <c r="D302">
        <v>4000</v>
      </c>
      <c r="E302" t="str">
        <f>INDEX(Accounts!$B$2:$B$9,MATCH(D302,Accounts!$A$2:$A$9,0))</f>
        <v>Product Sales</v>
      </c>
      <c r="F302" t="str">
        <f>INDEX(Accounts!$C$2:$C$9,MATCH(D302,Accounts!$A$2:$A$9,0))</f>
        <v>Revenue</v>
      </c>
      <c r="G302" t="s">
        <v>43</v>
      </c>
      <c r="H302" t="s">
        <v>44</v>
      </c>
      <c r="I302">
        <v>152313</v>
      </c>
    </row>
    <row r="303" spans="1:9" x14ac:dyDescent="0.3">
      <c r="A303" t="s">
        <v>434</v>
      </c>
      <c r="B303" t="s">
        <v>435</v>
      </c>
      <c r="C303">
        <f t="shared" si="4"/>
        <v>45717</v>
      </c>
      <c r="D303">
        <v>4100</v>
      </c>
      <c r="E303" t="str">
        <f>INDEX(Accounts!$B$2:$B$9,MATCH(D303,Accounts!$A$2:$A$9,0))</f>
        <v>Sales Returns &amp; Discounts</v>
      </c>
      <c r="F303" t="str">
        <f>INDEX(Accounts!$C$2:$C$9,MATCH(D303,Accounts!$A$2:$A$9,0))</f>
        <v>Contra Revenue</v>
      </c>
      <c r="G303" t="s">
        <v>48</v>
      </c>
      <c r="H303" t="s">
        <v>46</v>
      </c>
      <c r="I303">
        <v>7484</v>
      </c>
    </row>
    <row r="304" spans="1:9" x14ac:dyDescent="0.3">
      <c r="A304" t="s">
        <v>436</v>
      </c>
      <c r="B304" t="s">
        <v>435</v>
      </c>
      <c r="C304">
        <f t="shared" si="4"/>
        <v>45717</v>
      </c>
      <c r="D304">
        <v>5000</v>
      </c>
      <c r="E304" t="str">
        <f>INDEX(Accounts!$B$2:$B$9,MATCH(D304,Accounts!$A$2:$A$9,0))</f>
        <v>Cost of Goods Sold</v>
      </c>
      <c r="F304" t="str">
        <f>INDEX(Accounts!$C$2:$C$9,MATCH(D304,Accounts!$A$2:$A$9,0))</f>
        <v>COGS</v>
      </c>
      <c r="G304" t="s">
        <v>43</v>
      </c>
      <c r="H304" t="s">
        <v>42</v>
      </c>
      <c r="I304">
        <v>64062</v>
      </c>
    </row>
    <row r="305" spans="1:9" x14ac:dyDescent="0.3">
      <c r="A305" t="s">
        <v>437</v>
      </c>
      <c r="B305" t="s">
        <v>435</v>
      </c>
      <c r="C305">
        <f t="shared" si="4"/>
        <v>45717</v>
      </c>
      <c r="D305">
        <v>4000</v>
      </c>
      <c r="E305" t="str">
        <f>INDEX(Accounts!$B$2:$B$9,MATCH(D305,Accounts!$A$2:$A$9,0))</f>
        <v>Product Sales</v>
      </c>
      <c r="F305" t="str">
        <f>INDEX(Accounts!$C$2:$C$9,MATCH(D305,Accounts!$A$2:$A$9,0))</f>
        <v>Revenue</v>
      </c>
      <c r="G305" t="s">
        <v>45</v>
      </c>
      <c r="H305" t="s">
        <v>46</v>
      </c>
      <c r="I305">
        <v>81367</v>
      </c>
    </row>
    <row r="306" spans="1:9" x14ac:dyDescent="0.3">
      <c r="A306" t="s">
        <v>438</v>
      </c>
      <c r="B306" t="s">
        <v>439</v>
      </c>
      <c r="C306">
        <f t="shared" si="4"/>
        <v>45717</v>
      </c>
      <c r="D306">
        <v>6000</v>
      </c>
      <c r="E306" t="str">
        <f>INDEX(Accounts!$B$2:$B$9,MATCH(D306,Accounts!$A$2:$A$9,0))</f>
        <v>Salaries &amp; Wages</v>
      </c>
      <c r="F306" t="str">
        <f>INDEX(Accounts!$C$2:$C$9,MATCH(D306,Accounts!$A$2:$A$9,0))</f>
        <v>Operating Expense</v>
      </c>
      <c r="G306" t="s">
        <v>43</v>
      </c>
      <c r="H306" t="s">
        <v>44</v>
      </c>
      <c r="I306">
        <v>16170</v>
      </c>
    </row>
    <row r="307" spans="1:9" x14ac:dyDescent="0.3">
      <c r="A307" t="s">
        <v>440</v>
      </c>
      <c r="B307" t="s">
        <v>439</v>
      </c>
      <c r="C307">
        <f t="shared" si="4"/>
        <v>45717</v>
      </c>
      <c r="D307">
        <v>5000</v>
      </c>
      <c r="E307" t="str">
        <f>INDEX(Accounts!$B$2:$B$9,MATCH(D307,Accounts!$A$2:$A$9,0))</f>
        <v>Cost of Goods Sold</v>
      </c>
      <c r="F307" t="str">
        <f>INDEX(Accounts!$C$2:$C$9,MATCH(D307,Accounts!$A$2:$A$9,0))</f>
        <v>COGS</v>
      </c>
      <c r="G307" t="s">
        <v>41</v>
      </c>
      <c r="H307" t="s">
        <v>46</v>
      </c>
      <c r="I307">
        <v>54115</v>
      </c>
    </row>
    <row r="308" spans="1:9" x14ac:dyDescent="0.3">
      <c r="A308" t="s">
        <v>441</v>
      </c>
      <c r="B308" t="s">
        <v>442</v>
      </c>
      <c r="C308">
        <f t="shared" si="4"/>
        <v>45717</v>
      </c>
      <c r="D308">
        <v>4000</v>
      </c>
      <c r="E308" t="str">
        <f>INDEX(Accounts!$B$2:$B$9,MATCH(D308,Accounts!$A$2:$A$9,0))</f>
        <v>Product Sales</v>
      </c>
      <c r="F308" t="str">
        <f>INDEX(Accounts!$C$2:$C$9,MATCH(D308,Accounts!$A$2:$A$9,0))</f>
        <v>Revenue</v>
      </c>
      <c r="G308" t="s">
        <v>43</v>
      </c>
      <c r="H308" t="s">
        <v>42</v>
      </c>
      <c r="I308">
        <v>155386</v>
      </c>
    </row>
    <row r="309" spans="1:9" x14ac:dyDescent="0.3">
      <c r="A309" t="s">
        <v>443</v>
      </c>
      <c r="B309" t="s">
        <v>442</v>
      </c>
      <c r="C309">
        <f t="shared" si="4"/>
        <v>45717</v>
      </c>
      <c r="D309">
        <v>4000</v>
      </c>
      <c r="E309" t="str">
        <f>INDEX(Accounts!$B$2:$B$9,MATCH(D309,Accounts!$A$2:$A$9,0))</f>
        <v>Product Sales</v>
      </c>
      <c r="F309" t="str">
        <f>INDEX(Accounts!$C$2:$C$9,MATCH(D309,Accounts!$A$2:$A$9,0))</f>
        <v>Revenue</v>
      </c>
      <c r="G309" t="s">
        <v>43</v>
      </c>
      <c r="H309" t="s">
        <v>42</v>
      </c>
      <c r="I309">
        <v>164094</v>
      </c>
    </row>
    <row r="310" spans="1:9" x14ac:dyDescent="0.3">
      <c r="A310" t="s">
        <v>444</v>
      </c>
      <c r="B310" t="s">
        <v>442</v>
      </c>
      <c r="C310">
        <f t="shared" si="4"/>
        <v>45717</v>
      </c>
      <c r="D310">
        <v>6100</v>
      </c>
      <c r="E310" t="str">
        <f>INDEX(Accounts!$B$2:$B$9,MATCH(D310,Accounts!$A$2:$A$9,0))</f>
        <v>Marketing Expense</v>
      </c>
      <c r="F310" t="str">
        <f>INDEX(Accounts!$C$2:$C$9,MATCH(D310,Accounts!$A$2:$A$9,0))</f>
        <v>Operating Expense</v>
      </c>
      <c r="G310" t="s">
        <v>41</v>
      </c>
      <c r="H310" t="s">
        <v>46</v>
      </c>
      <c r="I310">
        <v>10095</v>
      </c>
    </row>
    <row r="311" spans="1:9" x14ac:dyDescent="0.3">
      <c r="A311" t="s">
        <v>445</v>
      </c>
      <c r="B311" t="s">
        <v>446</v>
      </c>
      <c r="C311">
        <f t="shared" si="4"/>
        <v>45717</v>
      </c>
      <c r="D311">
        <v>4000</v>
      </c>
      <c r="E311" t="str">
        <f>INDEX(Accounts!$B$2:$B$9,MATCH(D311,Accounts!$A$2:$A$9,0))</f>
        <v>Product Sales</v>
      </c>
      <c r="F311" t="str">
        <f>INDEX(Accounts!$C$2:$C$9,MATCH(D311,Accounts!$A$2:$A$9,0))</f>
        <v>Revenue</v>
      </c>
      <c r="G311" t="s">
        <v>47</v>
      </c>
      <c r="H311" t="s">
        <v>42</v>
      </c>
      <c r="I311">
        <v>74841</v>
      </c>
    </row>
    <row r="312" spans="1:9" x14ac:dyDescent="0.3">
      <c r="A312" t="s">
        <v>447</v>
      </c>
      <c r="B312" t="s">
        <v>446</v>
      </c>
      <c r="C312">
        <f t="shared" si="4"/>
        <v>45717</v>
      </c>
      <c r="D312">
        <v>5000</v>
      </c>
      <c r="E312" t="str">
        <f>INDEX(Accounts!$B$2:$B$9,MATCH(D312,Accounts!$A$2:$A$9,0))</f>
        <v>Cost of Goods Sold</v>
      </c>
      <c r="F312" t="str">
        <f>INDEX(Accounts!$C$2:$C$9,MATCH(D312,Accounts!$A$2:$A$9,0))</f>
        <v>COGS</v>
      </c>
      <c r="G312" t="s">
        <v>43</v>
      </c>
      <c r="H312" t="s">
        <v>46</v>
      </c>
      <c r="I312">
        <v>16612</v>
      </c>
    </row>
    <row r="313" spans="1:9" x14ac:dyDescent="0.3">
      <c r="A313" t="s">
        <v>448</v>
      </c>
      <c r="B313" t="s">
        <v>446</v>
      </c>
      <c r="C313">
        <f t="shared" si="4"/>
        <v>45717</v>
      </c>
      <c r="D313">
        <v>6300</v>
      </c>
      <c r="E313" t="str">
        <f>INDEX(Accounts!$B$2:$B$9,MATCH(D313,Accounts!$A$2:$A$9,0))</f>
        <v>Logistics Expense</v>
      </c>
      <c r="F313" t="str">
        <f>INDEX(Accounts!$C$2:$C$9,MATCH(D313,Accounts!$A$2:$A$9,0))</f>
        <v>Operating Expense</v>
      </c>
      <c r="G313" t="s">
        <v>41</v>
      </c>
      <c r="H313" t="s">
        <v>42</v>
      </c>
      <c r="I313">
        <v>3629</v>
      </c>
    </row>
    <row r="314" spans="1:9" x14ac:dyDescent="0.3">
      <c r="A314" t="s">
        <v>449</v>
      </c>
      <c r="B314" t="s">
        <v>450</v>
      </c>
      <c r="C314">
        <f t="shared" si="4"/>
        <v>45717</v>
      </c>
      <c r="D314">
        <v>5000</v>
      </c>
      <c r="E314" t="str">
        <f>INDEX(Accounts!$B$2:$B$9,MATCH(D314,Accounts!$A$2:$A$9,0))</f>
        <v>Cost of Goods Sold</v>
      </c>
      <c r="F314" t="str">
        <f>INDEX(Accounts!$C$2:$C$9,MATCH(D314,Accounts!$A$2:$A$9,0))</f>
        <v>COGS</v>
      </c>
      <c r="G314" t="s">
        <v>45</v>
      </c>
      <c r="H314" t="s">
        <v>46</v>
      </c>
      <c r="I314">
        <v>49909</v>
      </c>
    </row>
    <row r="315" spans="1:9" x14ac:dyDescent="0.3">
      <c r="A315" t="s">
        <v>451</v>
      </c>
      <c r="B315" t="s">
        <v>450</v>
      </c>
      <c r="C315">
        <f t="shared" si="4"/>
        <v>45717</v>
      </c>
      <c r="D315">
        <v>6000</v>
      </c>
      <c r="E315" t="str">
        <f>INDEX(Accounts!$B$2:$B$9,MATCH(D315,Accounts!$A$2:$A$9,0))</f>
        <v>Salaries &amp; Wages</v>
      </c>
      <c r="F315" t="str">
        <f>INDEX(Accounts!$C$2:$C$9,MATCH(D315,Accounts!$A$2:$A$9,0))</f>
        <v>Operating Expense</v>
      </c>
      <c r="G315" t="s">
        <v>43</v>
      </c>
      <c r="H315" t="s">
        <v>44</v>
      </c>
      <c r="I315">
        <v>32672</v>
      </c>
    </row>
    <row r="316" spans="1:9" x14ac:dyDescent="0.3">
      <c r="A316" t="s">
        <v>452</v>
      </c>
      <c r="B316" t="s">
        <v>453</v>
      </c>
      <c r="C316">
        <f t="shared" si="4"/>
        <v>45717</v>
      </c>
      <c r="D316">
        <v>4000</v>
      </c>
      <c r="E316" t="str">
        <f>INDEX(Accounts!$B$2:$B$9,MATCH(D316,Accounts!$A$2:$A$9,0))</f>
        <v>Product Sales</v>
      </c>
      <c r="F316" t="str">
        <f>INDEX(Accounts!$C$2:$C$9,MATCH(D316,Accounts!$A$2:$A$9,0))</f>
        <v>Revenue</v>
      </c>
      <c r="G316" t="s">
        <v>41</v>
      </c>
      <c r="H316" t="s">
        <v>44</v>
      </c>
      <c r="I316">
        <v>32588</v>
      </c>
    </row>
    <row r="317" spans="1:9" x14ac:dyDescent="0.3">
      <c r="A317" t="s">
        <v>454</v>
      </c>
      <c r="B317" t="s">
        <v>453</v>
      </c>
      <c r="C317">
        <f t="shared" si="4"/>
        <v>45717</v>
      </c>
      <c r="D317">
        <v>5000</v>
      </c>
      <c r="E317" t="str">
        <f>INDEX(Accounts!$B$2:$B$9,MATCH(D317,Accounts!$A$2:$A$9,0))</f>
        <v>Cost of Goods Sold</v>
      </c>
      <c r="F317" t="str">
        <f>INDEX(Accounts!$C$2:$C$9,MATCH(D317,Accounts!$A$2:$A$9,0))</f>
        <v>COGS</v>
      </c>
      <c r="G317" t="s">
        <v>45</v>
      </c>
      <c r="H317" t="s">
        <v>44</v>
      </c>
      <c r="I317">
        <v>54687</v>
      </c>
    </row>
    <row r="318" spans="1:9" x14ac:dyDescent="0.3">
      <c r="A318" t="s">
        <v>455</v>
      </c>
      <c r="B318" t="s">
        <v>453</v>
      </c>
      <c r="C318">
        <f t="shared" si="4"/>
        <v>45717</v>
      </c>
      <c r="D318">
        <v>6400</v>
      </c>
      <c r="E318" t="str">
        <f>INDEX(Accounts!$B$2:$B$9,MATCH(D318,Accounts!$A$2:$A$9,0))</f>
        <v>Software &amp; Admin</v>
      </c>
      <c r="F318" t="str">
        <f>INDEX(Accounts!$C$2:$C$9,MATCH(D318,Accounts!$A$2:$A$9,0))</f>
        <v>Operating Expense</v>
      </c>
      <c r="G318" t="s">
        <v>41</v>
      </c>
      <c r="H318" t="s">
        <v>44</v>
      </c>
      <c r="I318">
        <v>2118</v>
      </c>
    </row>
    <row r="319" spans="1:9" x14ac:dyDescent="0.3">
      <c r="A319" t="s">
        <v>456</v>
      </c>
      <c r="B319" t="s">
        <v>453</v>
      </c>
      <c r="C319">
        <f t="shared" si="4"/>
        <v>45717</v>
      </c>
      <c r="D319">
        <v>6000</v>
      </c>
      <c r="E319" t="str">
        <f>INDEX(Accounts!$B$2:$B$9,MATCH(D319,Accounts!$A$2:$A$9,0))</f>
        <v>Salaries &amp; Wages</v>
      </c>
      <c r="F319" t="str">
        <f>INDEX(Accounts!$C$2:$C$9,MATCH(D319,Accounts!$A$2:$A$9,0))</f>
        <v>Operating Expense</v>
      </c>
      <c r="G319" t="s">
        <v>48</v>
      </c>
      <c r="H319" t="s">
        <v>42</v>
      </c>
      <c r="I319">
        <v>15923</v>
      </c>
    </row>
    <row r="320" spans="1:9" x14ac:dyDescent="0.3">
      <c r="A320" t="s">
        <v>457</v>
      </c>
      <c r="B320" t="s">
        <v>458</v>
      </c>
      <c r="C320">
        <f t="shared" si="4"/>
        <v>45717</v>
      </c>
      <c r="D320">
        <v>6000</v>
      </c>
      <c r="E320" t="str">
        <f>INDEX(Accounts!$B$2:$B$9,MATCH(D320,Accounts!$A$2:$A$9,0))</f>
        <v>Salaries &amp; Wages</v>
      </c>
      <c r="F320" t="str">
        <f>INDEX(Accounts!$C$2:$C$9,MATCH(D320,Accounts!$A$2:$A$9,0))</f>
        <v>Operating Expense</v>
      </c>
      <c r="G320" t="s">
        <v>43</v>
      </c>
      <c r="H320" t="s">
        <v>44</v>
      </c>
      <c r="I320">
        <v>30419</v>
      </c>
    </row>
    <row r="321" spans="1:9" x14ac:dyDescent="0.3">
      <c r="A321" t="s">
        <v>459</v>
      </c>
      <c r="B321" t="s">
        <v>458</v>
      </c>
      <c r="C321">
        <f t="shared" si="4"/>
        <v>45717</v>
      </c>
      <c r="D321">
        <v>6000</v>
      </c>
      <c r="E321" t="str">
        <f>INDEX(Accounts!$B$2:$B$9,MATCH(D321,Accounts!$A$2:$A$9,0))</f>
        <v>Salaries &amp; Wages</v>
      </c>
      <c r="F321" t="str">
        <f>INDEX(Accounts!$C$2:$C$9,MATCH(D321,Accounts!$A$2:$A$9,0))</f>
        <v>Operating Expense</v>
      </c>
      <c r="G321" t="s">
        <v>45</v>
      </c>
      <c r="H321" t="s">
        <v>46</v>
      </c>
      <c r="I321">
        <v>31996</v>
      </c>
    </row>
    <row r="322" spans="1:9" x14ac:dyDescent="0.3">
      <c r="A322" t="s">
        <v>460</v>
      </c>
      <c r="B322" t="s">
        <v>458</v>
      </c>
      <c r="C322">
        <f t="shared" ref="C322:C385" si="5">DATE(YEAR(B322),MONTH(B322),1)</f>
        <v>45717</v>
      </c>
      <c r="D322">
        <v>5000</v>
      </c>
      <c r="E322" t="str">
        <f>INDEX(Accounts!$B$2:$B$9,MATCH(D322,Accounts!$A$2:$A$9,0))</f>
        <v>Cost of Goods Sold</v>
      </c>
      <c r="F322" t="str">
        <f>INDEX(Accounts!$C$2:$C$9,MATCH(D322,Accounts!$A$2:$A$9,0))</f>
        <v>COGS</v>
      </c>
      <c r="G322" t="s">
        <v>47</v>
      </c>
      <c r="H322" t="s">
        <v>44</v>
      </c>
      <c r="I322">
        <v>47865</v>
      </c>
    </row>
    <row r="323" spans="1:9" x14ac:dyDescent="0.3">
      <c r="A323" t="s">
        <v>461</v>
      </c>
      <c r="B323" t="s">
        <v>458</v>
      </c>
      <c r="C323">
        <f t="shared" si="5"/>
        <v>45717</v>
      </c>
      <c r="D323">
        <v>5000</v>
      </c>
      <c r="E323" t="str">
        <f>INDEX(Accounts!$B$2:$B$9,MATCH(D323,Accounts!$A$2:$A$9,0))</f>
        <v>Cost of Goods Sold</v>
      </c>
      <c r="F323" t="str">
        <f>INDEX(Accounts!$C$2:$C$9,MATCH(D323,Accounts!$A$2:$A$9,0))</f>
        <v>COGS</v>
      </c>
      <c r="G323" t="s">
        <v>41</v>
      </c>
      <c r="H323" t="s">
        <v>42</v>
      </c>
      <c r="I323">
        <v>14109</v>
      </c>
    </row>
    <row r="324" spans="1:9" x14ac:dyDescent="0.3">
      <c r="A324" t="s">
        <v>462</v>
      </c>
      <c r="B324" t="s">
        <v>458</v>
      </c>
      <c r="C324">
        <f t="shared" si="5"/>
        <v>45717</v>
      </c>
      <c r="D324">
        <v>6100</v>
      </c>
      <c r="E324" t="str">
        <f>INDEX(Accounts!$B$2:$B$9,MATCH(D324,Accounts!$A$2:$A$9,0))</f>
        <v>Marketing Expense</v>
      </c>
      <c r="F324" t="str">
        <f>INDEX(Accounts!$C$2:$C$9,MATCH(D324,Accounts!$A$2:$A$9,0))</f>
        <v>Operating Expense</v>
      </c>
      <c r="G324" t="s">
        <v>48</v>
      </c>
      <c r="H324" t="s">
        <v>46</v>
      </c>
      <c r="I324">
        <v>7119</v>
      </c>
    </row>
    <row r="325" spans="1:9" x14ac:dyDescent="0.3">
      <c r="A325" t="s">
        <v>463</v>
      </c>
      <c r="B325" t="s">
        <v>458</v>
      </c>
      <c r="C325">
        <f t="shared" si="5"/>
        <v>45717</v>
      </c>
      <c r="D325">
        <v>4000</v>
      </c>
      <c r="E325" t="str">
        <f>INDEX(Accounts!$B$2:$B$9,MATCH(D325,Accounts!$A$2:$A$9,0))</f>
        <v>Product Sales</v>
      </c>
      <c r="F325" t="str">
        <f>INDEX(Accounts!$C$2:$C$9,MATCH(D325,Accounts!$A$2:$A$9,0))</f>
        <v>Revenue</v>
      </c>
      <c r="G325" t="s">
        <v>41</v>
      </c>
      <c r="H325" t="s">
        <v>44</v>
      </c>
      <c r="I325">
        <v>175313</v>
      </c>
    </row>
    <row r="326" spans="1:9" x14ac:dyDescent="0.3">
      <c r="A326" t="s">
        <v>464</v>
      </c>
      <c r="B326" t="s">
        <v>458</v>
      </c>
      <c r="C326">
        <f t="shared" si="5"/>
        <v>45717</v>
      </c>
      <c r="D326">
        <v>6300</v>
      </c>
      <c r="E326" t="str">
        <f>INDEX(Accounts!$B$2:$B$9,MATCH(D326,Accounts!$A$2:$A$9,0))</f>
        <v>Logistics Expense</v>
      </c>
      <c r="F326" t="str">
        <f>INDEX(Accounts!$C$2:$C$9,MATCH(D326,Accounts!$A$2:$A$9,0))</f>
        <v>Operating Expense</v>
      </c>
      <c r="G326" t="s">
        <v>45</v>
      </c>
      <c r="H326" t="s">
        <v>46</v>
      </c>
      <c r="I326">
        <v>6795</v>
      </c>
    </row>
    <row r="327" spans="1:9" x14ac:dyDescent="0.3">
      <c r="A327" t="s">
        <v>465</v>
      </c>
      <c r="B327" t="s">
        <v>458</v>
      </c>
      <c r="C327">
        <f t="shared" si="5"/>
        <v>45717</v>
      </c>
      <c r="D327">
        <v>4100</v>
      </c>
      <c r="E327" t="str">
        <f>INDEX(Accounts!$B$2:$B$9,MATCH(D327,Accounts!$A$2:$A$9,0))</f>
        <v>Sales Returns &amp; Discounts</v>
      </c>
      <c r="F327" t="str">
        <f>INDEX(Accounts!$C$2:$C$9,MATCH(D327,Accounts!$A$2:$A$9,0))</f>
        <v>Contra Revenue</v>
      </c>
      <c r="G327" t="s">
        <v>43</v>
      </c>
      <c r="H327" t="s">
        <v>44</v>
      </c>
      <c r="I327">
        <v>10795</v>
      </c>
    </row>
    <row r="328" spans="1:9" x14ac:dyDescent="0.3">
      <c r="A328" t="s">
        <v>466</v>
      </c>
      <c r="B328" t="s">
        <v>467</v>
      </c>
      <c r="C328">
        <f t="shared" si="5"/>
        <v>45717</v>
      </c>
      <c r="D328">
        <v>6200</v>
      </c>
      <c r="E328" t="str">
        <f>INDEX(Accounts!$B$2:$B$9,MATCH(D328,Accounts!$A$2:$A$9,0))</f>
        <v>Rent &amp; Utilities</v>
      </c>
      <c r="F328" t="str">
        <f>INDEX(Accounts!$C$2:$C$9,MATCH(D328,Accounts!$A$2:$A$9,0))</f>
        <v>Operating Expense</v>
      </c>
      <c r="G328" t="s">
        <v>45</v>
      </c>
      <c r="H328" t="s">
        <v>44</v>
      </c>
      <c r="I328">
        <v>4886</v>
      </c>
    </row>
    <row r="329" spans="1:9" x14ac:dyDescent="0.3">
      <c r="A329" t="s">
        <v>468</v>
      </c>
      <c r="B329" t="s">
        <v>467</v>
      </c>
      <c r="C329">
        <f t="shared" si="5"/>
        <v>45717</v>
      </c>
      <c r="D329">
        <v>6200</v>
      </c>
      <c r="E329" t="str">
        <f>INDEX(Accounts!$B$2:$B$9,MATCH(D329,Accounts!$A$2:$A$9,0))</f>
        <v>Rent &amp; Utilities</v>
      </c>
      <c r="F329" t="str">
        <f>INDEX(Accounts!$C$2:$C$9,MATCH(D329,Accounts!$A$2:$A$9,0))</f>
        <v>Operating Expense</v>
      </c>
      <c r="G329" t="s">
        <v>43</v>
      </c>
      <c r="H329" t="s">
        <v>42</v>
      </c>
      <c r="I329">
        <v>9464</v>
      </c>
    </row>
    <row r="330" spans="1:9" x14ac:dyDescent="0.3">
      <c r="A330" t="s">
        <v>469</v>
      </c>
      <c r="B330" t="s">
        <v>467</v>
      </c>
      <c r="C330">
        <f t="shared" si="5"/>
        <v>45717</v>
      </c>
      <c r="D330">
        <v>6200</v>
      </c>
      <c r="E330" t="str">
        <f>INDEX(Accounts!$B$2:$B$9,MATCH(D330,Accounts!$A$2:$A$9,0))</f>
        <v>Rent &amp; Utilities</v>
      </c>
      <c r="F330" t="str">
        <f>INDEX(Accounts!$C$2:$C$9,MATCH(D330,Accounts!$A$2:$A$9,0))</f>
        <v>Operating Expense</v>
      </c>
      <c r="G330" t="s">
        <v>47</v>
      </c>
      <c r="H330" t="s">
        <v>44</v>
      </c>
      <c r="I330">
        <v>12366</v>
      </c>
    </row>
    <row r="331" spans="1:9" x14ac:dyDescent="0.3">
      <c r="A331" t="s">
        <v>470</v>
      </c>
      <c r="B331" t="s">
        <v>467</v>
      </c>
      <c r="C331">
        <f t="shared" si="5"/>
        <v>45717</v>
      </c>
      <c r="D331">
        <v>4000</v>
      </c>
      <c r="E331" t="str">
        <f>INDEX(Accounts!$B$2:$B$9,MATCH(D331,Accounts!$A$2:$A$9,0))</f>
        <v>Product Sales</v>
      </c>
      <c r="F331" t="str">
        <f>INDEX(Accounts!$C$2:$C$9,MATCH(D331,Accounts!$A$2:$A$9,0))</f>
        <v>Revenue</v>
      </c>
      <c r="G331" t="s">
        <v>41</v>
      </c>
      <c r="H331" t="s">
        <v>44</v>
      </c>
      <c r="I331">
        <v>47106</v>
      </c>
    </row>
    <row r="332" spans="1:9" x14ac:dyDescent="0.3">
      <c r="A332" t="s">
        <v>471</v>
      </c>
      <c r="B332" t="s">
        <v>472</v>
      </c>
      <c r="C332">
        <f t="shared" si="5"/>
        <v>45748</v>
      </c>
      <c r="D332">
        <v>5000</v>
      </c>
      <c r="E332" t="str">
        <f>INDEX(Accounts!$B$2:$B$9,MATCH(D332,Accounts!$A$2:$A$9,0))</f>
        <v>Cost of Goods Sold</v>
      </c>
      <c r="F332" t="str">
        <f>INDEX(Accounts!$C$2:$C$9,MATCH(D332,Accounts!$A$2:$A$9,0))</f>
        <v>COGS</v>
      </c>
      <c r="G332" t="s">
        <v>41</v>
      </c>
      <c r="H332" t="s">
        <v>42</v>
      </c>
      <c r="I332">
        <v>30395</v>
      </c>
    </row>
    <row r="333" spans="1:9" x14ac:dyDescent="0.3">
      <c r="A333" t="s">
        <v>473</v>
      </c>
      <c r="B333" t="s">
        <v>472</v>
      </c>
      <c r="C333">
        <f t="shared" si="5"/>
        <v>45748</v>
      </c>
      <c r="D333">
        <v>6000</v>
      </c>
      <c r="E333" t="str">
        <f>INDEX(Accounts!$B$2:$B$9,MATCH(D333,Accounts!$A$2:$A$9,0))</f>
        <v>Salaries &amp; Wages</v>
      </c>
      <c r="F333" t="str">
        <f>INDEX(Accounts!$C$2:$C$9,MATCH(D333,Accounts!$A$2:$A$9,0))</f>
        <v>Operating Expense</v>
      </c>
      <c r="G333" t="s">
        <v>43</v>
      </c>
      <c r="H333" t="s">
        <v>46</v>
      </c>
      <c r="I333">
        <v>9704</v>
      </c>
    </row>
    <row r="334" spans="1:9" x14ac:dyDescent="0.3">
      <c r="A334" t="s">
        <v>474</v>
      </c>
      <c r="B334" t="s">
        <v>475</v>
      </c>
      <c r="C334">
        <f t="shared" si="5"/>
        <v>45748</v>
      </c>
      <c r="D334">
        <v>6200</v>
      </c>
      <c r="E334" t="str">
        <f>INDEX(Accounts!$B$2:$B$9,MATCH(D334,Accounts!$A$2:$A$9,0))</f>
        <v>Rent &amp; Utilities</v>
      </c>
      <c r="F334" t="str">
        <f>INDEX(Accounts!$C$2:$C$9,MATCH(D334,Accounts!$A$2:$A$9,0))</f>
        <v>Operating Expense</v>
      </c>
      <c r="G334" t="s">
        <v>47</v>
      </c>
      <c r="H334" t="s">
        <v>44</v>
      </c>
      <c r="I334">
        <v>8080</v>
      </c>
    </row>
    <row r="335" spans="1:9" x14ac:dyDescent="0.3">
      <c r="A335" t="s">
        <v>476</v>
      </c>
      <c r="B335" t="s">
        <v>475</v>
      </c>
      <c r="C335">
        <f t="shared" si="5"/>
        <v>45748</v>
      </c>
      <c r="D335">
        <v>6100</v>
      </c>
      <c r="E335" t="str">
        <f>INDEX(Accounts!$B$2:$B$9,MATCH(D335,Accounts!$A$2:$A$9,0))</f>
        <v>Marketing Expense</v>
      </c>
      <c r="F335" t="str">
        <f>INDEX(Accounts!$C$2:$C$9,MATCH(D335,Accounts!$A$2:$A$9,0))</f>
        <v>Operating Expense</v>
      </c>
      <c r="G335" t="s">
        <v>41</v>
      </c>
      <c r="H335" t="s">
        <v>44</v>
      </c>
      <c r="I335">
        <v>16125</v>
      </c>
    </row>
    <row r="336" spans="1:9" x14ac:dyDescent="0.3">
      <c r="A336" t="s">
        <v>477</v>
      </c>
      <c r="B336" t="s">
        <v>475</v>
      </c>
      <c r="C336">
        <f t="shared" si="5"/>
        <v>45748</v>
      </c>
      <c r="D336">
        <v>4000</v>
      </c>
      <c r="E336" t="str">
        <f>INDEX(Accounts!$B$2:$B$9,MATCH(D336,Accounts!$A$2:$A$9,0))</f>
        <v>Product Sales</v>
      </c>
      <c r="F336" t="str">
        <f>INDEX(Accounts!$C$2:$C$9,MATCH(D336,Accounts!$A$2:$A$9,0))</f>
        <v>Revenue</v>
      </c>
      <c r="G336" t="s">
        <v>43</v>
      </c>
      <c r="H336" t="s">
        <v>46</v>
      </c>
      <c r="I336">
        <v>148361</v>
      </c>
    </row>
    <row r="337" spans="1:9" x14ac:dyDescent="0.3">
      <c r="A337" t="s">
        <v>478</v>
      </c>
      <c r="B337" t="s">
        <v>475</v>
      </c>
      <c r="C337">
        <f t="shared" si="5"/>
        <v>45748</v>
      </c>
      <c r="D337">
        <v>5000</v>
      </c>
      <c r="E337" t="str">
        <f>INDEX(Accounts!$B$2:$B$9,MATCH(D337,Accounts!$A$2:$A$9,0))</f>
        <v>Cost of Goods Sold</v>
      </c>
      <c r="F337" t="str">
        <f>INDEX(Accounts!$C$2:$C$9,MATCH(D337,Accounts!$A$2:$A$9,0))</f>
        <v>COGS</v>
      </c>
      <c r="G337" t="s">
        <v>43</v>
      </c>
      <c r="H337" t="s">
        <v>42</v>
      </c>
      <c r="I337">
        <v>31758</v>
      </c>
    </row>
    <row r="338" spans="1:9" x14ac:dyDescent="0.3">
      <c r="A338" t="s">
        <v>479</v>
      </c>
      <c r="B338" t="s">
        <v>475</v>
      </c>
      <c r="C338">
        <f t="shared" si="5"/>
        <v>45748</v>
      </c>
      <c r="D338">
        <v>4000</v>
      </c>
      <c r="E338" t="str">
        <f>INDEX(Accounts!$B$2:$B$9,MATCH(D338,Accounts!$A$2:$A$9,0))</f>
        <v>Product Sales</v>
      </c>
      <c r="F338" t="str">
        <f>INDEX(Accounts!$C$2:$C$9,MATCH(D338,Accounts!$A$2:$A$9,0))</f>
        <v>Revenue</v>
      </c>
      <c r="G338" t="s">
        <v>41</v>
      </c>
      <c r="H338" t="s">
        <v>44</v>
      </c>
      <c r="I338">
        <v>149189</v>
      </c>
    </row>
    <row r="339" spans="1:9" x14ac:dyDescent="0.3">
      <c r="A339" t="s">
        <v>480</v>
      </c>
      <c r="B339" t="s">
        <v>481</v>
      </c>
      <c r="C339">
        <f t="shared" si="5"/>
        <v>45748</v>
      </c>
      <c r="D339">
        <v>6000</v>
      </c>
      <c r="E339" t="str">
        <f>INDEX(Accounts!$B$2:$B$9,MATCH(D339,Accounts!$A$2:$A$9,0))</f>
        <v>Salaries &amp; Wages</v>
      </c>
      <c r="F339" t="str">
        <f>INDEX(Accounts!$C$2:$C$9,MATCH(D339,Accounts!$A$2:$A$9,0))</f>
        <v>Operating Expense</v>
      </c>
      <c r="G339" t="s">
        <v>41</v>
      </c>
      <c r="H339" t="s">
        <v>44</v>
      </c>
      <c r="I339">
        <v>15165</v>
      </c>
    </row>
    <row r="340" spans="1:9" x14ac:dyDescent="0.3">
      <c r="A340" t="s">
        <v>482</v>
      </c>
      <c r="B340" t="s">
        <v>481</v>
      </c>
      <c r="C340">
        <f t="shared" si="5"/>
        <v>45748</v>
      </c>
      <c r="D340">
        <v>4100</v>
      </c>
      <c r="E340" t="str">
        <f>INDEX(Accounts!$B$2:$B$9,MATCH(D340,Accounts!$A$2:$A$9,0))</f>
        <v>Sales Returns &amp; Discounts</v>
      </c>
      <c r="F340" t="str">
        <f>INDEX(Accounts!$C$2:$C$9,MATCH(D340,Accounts!$A$2:$A$9,0))</f>
        <v>Contra Revenue</v>
      </c>
      <c r="G340" t="s">
        <v>43</v>
      </c>
      <c r="H340" t="s">
        <v>44</v>
      </c>
      <c r="I340">
        <v>3093</v>
      </c>
    </row>
    <row r="341" spans="1:9" x14ac:dyDescent="0.3">
      <c r="A341" t="s">
        <v>483</v>
      </c>
      <c r="B341" t="s">
        <v>481</v>
      </c>
      <c r="C341">
        <f t="shared" si="5"/>
        <v>45748</v>
      </c>
      <c r="D341">
        <v>4100</v>
      </c>
      <c r="E341" t="str">
        <f>INDEX(Accounts!$B$2:$B$9,MATCH(D341,Accounts!$A$2:$A$9,0))</f>
        <v>Sales Returns &amp; Discounts</v>
      </c>
      <c r="F341" t="str">
        <f>INDEX(Accounts!$C$2:$C$9,MATCH(D341,Accounts!$A$2:$A$9,0))</f>
        <v>Contra Revenue</v>
      </c>
      <c r="G341" t="s">
        <v>47</v>
      </c>
      <c r="H341" t="s">
        <v>46</v>
      </c>
      <c r="I341">
        <v>9843</v>
      </c>
    </row>
    <row r="342" spans="1:9" x14ac:dyDescent="0.3">
      <c r="A342" t="s">
        <v>484</v>
      </c>
      <c r="B342" t="s">
        <v>481</v>
      </c>
      <c r="C342">
        <f t="shared" si="5"/>
        <v>45748</v>
      </c>
      <c r="D342">
        <v>6100</v>
      </c>
      <c r="E342" t="str">
        <f>INDEX(Accounts!$B$2:$B$9,MATCH(D342,Accounts!$A$2:$A$9,0))</f>
        <v>Marketing Expense</v>
      </c>
      <c r="F342" t="str">
        <f>INDEX(Accounts!$C$2:$C$9,MATCH(D342,Accounts!$A$2:$A$9,0))</f>
        <v>Operating Expense</v>
      </c>
      <c r="G342" t="s">
        <v>41</v>
      </c>
      <c r="H342" t="s">
        <v>46</v>
      </c>
      <c r="I342">
        <v>4414</v>
      </c>
    </row>
    <row r="343" spans="1:9" x14ac:dyDescent="0.3">
      <c r="A343" t="s">
        <v>485</v>
      </c>
      <c r="B343" t="s">
        <v>481</v>
      </c>
      <c r="C343">
        <f t="shared" si="5"/>
        <v>45748</v>
      </c>
      <c r="D343">
        <v>4000</v>
      </c>
      <c r="E343" t="str">
        <f>INDEX(Accounts!$B$2:$B$9,MATCH(D343,Accounts!$A$2:$A$9,0))</f>
        <v>Product Sales</v>
      </c>
      <c r="F343" t="str">
        <f>INDEX(Accounts!$C$2:$C$9,MATCH(D343,Accounts!$A$2:$A$9,0))</f>
        <v>Revenue</v>
      </c>
      <c r="G343" t="s">
        <v>41</v>
      </c>
      <c r="H343" t="s">
        <v>42</v>
      </c>
      <c r="I343">
        <v>168865</v>
      </c>
    </row>
    <row r="344" spans="1:9" x14ac:dyDescent="0.3">
      <c r="A344" t="s">
        <v>486</v>
      </c>
      <c r="B344" t="s">
        <v>481</v>
      </c>
      <c r="C344">
        <f t="shared" si="5"/>
        <v>45748</v>
      </c>
      <c r="D344">
        <v>4000</v>
      </c>
      <c r="E344" t="str">
        <f>INDEX(Accounts!$B$2:$B$9,MATCH(D344,Accounts!$A$2:$A$9,0))</f>
        <v>Product Sales</v>
      </c>
      <c r="F344" t="str">
        <f>INDEX(Accounts!$C$2:$C$9,MATCH(D344,Accounts!$A$2:$A$9,0))</f>
        <v>Revenue</v>
      </c>
      <c r="G344" t="s">
        <v>48</v>
      </c>
      <c r="H344" t="s">
        <v>46</v>
      </c>
      <c r="I344">
        <v>165523</v>
      </c>
    </row>
    <row r="345" spans="1:9" x14ac:dyDescent="0.3">
      <c r="A345" t="s">
        <v>487</v>
      </c>
      <c r="B345" t="s">
        <v>481</v>
      </c>
      <c r="C345">
        <f t="shared" si="5"/>
        <v>45748</v>
      </c>
      <c r="D345">
        <v>6400</v>
      </c>
      <c r="E345" t="str">
        <f>INDEX(Accounts!$B$2:$B$9,MATCH(D345,Accounts!$A$2:$A$9,0))</f>
        <v>Software &amp; Admin</v>
      </c>
      <c r="F345" t="str">
        <f>INDEX(Accounts!$C$2:$C$9,MATCH(D345,Accounts!$A$2:$A$9,0))</f>
        <v>Operating Expense</v>
      </c>
      <c r="G345" t="s">
        <v>43</v>
      </c>
      <c r="H345" t="s">
        <v>46</v>
      </c>
      <c r="I345">
        <v>1333</v>
      </c>
    </row>
    <row r="346" spans="1:9" x14ac:dyDescent="0.3">
      <c r="A346" t="s">
        <v>488</v>
      </c>
      <c r="B346" t="s">
        <v>481</v>
      </c>
      <c r="C346">
        <f t="shared" si="5"/>
        <v>45748</v>
      </c>
      <c r="D346">
        <v>4100</v>
      </c>
      <c r="E346" t="str">
        <f>INDEX(Accounts!$B$2:$B$9,MATCH(D346,Accounts!$A$2:$A$9,0))</f>
        <v>Sales Returns &amp; Discounts</v>
      </c>
      <c r="F346" t="str">
        <f>INDEX(Accounts!$C$2:$C$9,MATCH(D346,Accounts!$A$2:$A$9,0))</f>
        <v>Contra Revenue</v>
      </c>
      <c r="G346" t="s">
        <v>48</v>
      </c>
      <c r="H346" t="s">
        <v>46</v>
      </c>
      <c r="I346">
        <v>8842</v>
      </c>
    </row>
    <row r="347" spans="1:9" x14ac:dyDescent="0.3">
      <c r="A347" t="s">
        <v>489</v>
      </c>
      <c r="B347" t="s">
        <v>490</v>
      </c>
      <c r="C347">
        <f t="shared" si="5"/>
        <v>45748</v>
      </c>
      <c r="D347">
        <v>4000</v>
      </c>
      <c r="E347" t="str">
        <f>INDEX(Accounts!$B$2:$B$9,MATCH(D347,Accounts!$A$2:$A$9,0))</f>
        <v>Product Sales</v>
      </c>
      <c r="F347" t="str">
        <f>INDEX(Accounts!$C$2:$C$9,MATCH(D347,Accounts!$A$2:$A$9,0))</f>
        <v>Revenue</v>
      </c>
      <c r="G347" t="s">
        <v>41</v>
      </c>
      <c r="H347" t="s">
        <v>46</v>
      </c>
      <c r="I347">
        <v>126446</v>
      </c>
    </row>
    <row r="348" spans="1:9" x14ac:dyDescent="0.3">
      <c r="A348" t="s">
        <v>491</v>
      </c>
      <c r="B348" t="s">
        <v>490</v>
      </c>
      <c r="C348">
        <f t="shared" si="5"/>
        <v>45748</v>
      </c>
      <c r="D348">
        <v>4000</v>
      </c>
      <c r="E348" t="str">
        <f>INDEX(Accounts!$B$2:$B$9,MATCH(D348,Accounts!$A$2:$A$9,0))</f>
        <v>Product Sales</v>
      </c>
      <c r="F348" t="str">
        <f>INDEX(Accounts!$C$2:$C$9,MATCH(D348,Accounts!$A$2:$A$9,0))</f>
        <v>Revenue</v>
      </c>
      <c r="G348" t="s">
        <v>48</v>
      </c>
      <c r="H348" t="s">
        <v>46</v>
      </c>
      <c r="I348">
        <v>134611</v>
      </c>
    </row>
    <row r="349" spans="1:9" x14ac:dyDescent="0.3">
      <c r="A349" t="s">
        <v>492</v>
      </c>
      <c r="B349" t="s">
        <v>493</v>
      </c>
      <c r="C349">
        <f t="shared" si="5"/>
        <v>45748</v>
      </c>
      <c r="D349">
        <v>6200</v>
      </c>
      <c r="E349" t="str">
        <f>INDEX(Accounts!$B$2:$B$9,MATCH(D349,Accounts!$A$2:$A$9,0))</f>
        <v>Rent &amp; Utilities</v>
      </c>
      <c r="F349" t="str">
        <f>INDEX(Accounts!$C$2:$C$9,MATCH(D349,Accounts!$A$2:$A$9,0))</f>
        <v>Operating Expense</v>
      </c>
      <c r="G349" t="s">
        <v>45</v>
      </c>
      <c r="H349" t="s">
        <v>44</v>
      </c>
      <c r="I349">
        <v>3570</v>
      </c>
    </row>
    <row r="350" spans="1:9" x14ac:dyDescent="0.3">
      <c r="A350" t="s">
        <v>494</v>
      </c>
      <c r="B350" t="s">
        <v>493</v>
      </c>
      <c r="C350">
        <f t="shared" si="5"/>
        <v>45748</v>
      </c>
      <c r="D350">
        <v>4000</v>
      </c>
      <c r="E350" t="str">
        <f>INDEX(Accounts!$B$2:$B$9,MATCH(D350,Accounts!$A$2:$A$9,0))</f>
        <v>Product Sales</v>
      </c>
      <c r="F350" t="str">
        <f>INDEX(Accounts!$C$2:$C$9,MATCH(D350,Accounts!$A$2:$A$9,0))</f>
        <v>Revenue</v>
      </c>
      <c r="G350" t="s">
        <v>45</v>
      </c>
      <c r="H350" t="s">
        <v>44</v>
      </c>
      <c r="I350">
        <v>119935</v>
      </c>
    </row>
    <row r="351" spans="1:9" x14ac:dyDescent="0.3">
      <c r="A351" t="s">
        <v>495</v>
      </c>
      <c r="B351" t="s">
        <v>493</v>
      </c>
      <c r="C351">
        <f t="shared" si="5"/>
        <v>45748</v>
      </c>
      <c r="D351">
        <v>6400</v>
      </c>
      <c r="E351" t="str">
        <f>INDEX(Accounts!$B$2:$B$9,MATCH(D351,Accounts!$A$2:$A$9,0))</f>
        <v>Software &amp; Admin</v>
      </c>
      <c r="F351" t="str">
        <f>INDEX(Accounts!$C$2:$C$9,MATCH(D351,Accounts!$A$2:$A$9,0))</f>
        <v>Operating Expense</v>
      </c>
      <c r="G351" t="s">
        <v>45</v>
      </c>
      <c r="H351" t="s">
        <v>44</v>
      </c>
      <c r="I351">
        <v>8632</v>
      </c>
    </row>
    <row r="352" spans="1:9" x14ac:dyDescent="0.3">
      <c r="A352" t="s">
        <v>496</v>
      </c>
      <c r="B352" t="s">
        <v>493</v>
      </c>
      <c r="C352">
        <f t="shared" si="5"/>
        <v>45748</v>
      </c>
      <c r="D352">
        <v>6100</v>
      </c>
      <c r="E352" t="str">
        <f>INDEX(Accounts!$B$2:$B$9,MATCH(D352,Accounts!$A$2:$A$9,0))</f>
        <v>Marketing Expense</v>
      </c>
      <c r="F352" t="str">
        <f>INDEX(Accounts!$C$2:$C$9,MATCH(D352,Accounts!$A$2:$A$9,0))</f>
        <v>Operating Expense</v>
      </c>
      <c r="G352" t="s">
        <v>43</v>
      </c>
      <c r="H352" t="s">
        <v>42</v>
      </c>
      <c r="I352">
        <v>7228</v>
      </c>
    </row>
    <row r="353" spans="1:9" x14ac:dyDescent="0.3">
      <c r="A353" t="s">
        <v>497</v>
      </c>
      <c r="B353" t="s">
        <v>493</v>
      </c>
      <c r="C353">
        <f t="shared" si="5"/>
        <v>45748</v>
      </c>
      <c r="D353">
        <v>6400</v>
      </c>
      <c r="E353" t="str">
        <f>INDEX(Accounts!$B$2:$B$9,MATCH(D353,Accounts!$A$2:$A$9,0))</f>
        <v>Software &amp; Admin</v>
      </c>
      <c r="F353" t="str">
        <f>INDEX(Accounts!$C$2:$C$9,MATCH(D353,Accounts!$A$2:$A$9,0))</f>
        <v>Operating Expense</v>
      </c>
      <c r="G353" t="s">
        <v>43</v>
      </c>
      <c r="H353" t="s">
        <v>44</v>
      </c>
      <c r="I353">
        <v>6990</v>
      </c>
    </row>
    <row r="354" spans="1:9" x14ac:dyDescent="0.3">
      <c r="A354" t="s">
        <v>498</v>
      </c>
      <c r="B354" t="s">
        <v>499</v>
      </c>
      <c r="C354">
        <f t="shared" si="5"/>
        <v>45748</v>
      </c>
      <c r="D354">
        <v>4000</v>
      </c>
      <c r="E354" t="str">
        <f>INDEX(Accounts!$B$2:$B$9,MATCH(D354,Accounts!$A$2:$A$9,0))</f>
        <v>Product Sales</v>
      </c>
      <c r="F354" t="str">
        <f>INDEX(Accounts!$C$2:$C$9,MATCH(D354,Accounts!$A$2:$A$9,0))</f>
        <v>Revenue</v>
      </c>
      <c r="G354" t="s">
        <v>45</v>
      </c>
      <c r="H354" t="s">
        <v>46</v>
      </c>
      <c r="I354">
        <v>68395</v>
      </c>
    </row>
    <row r="355" spans="1:9" x14ac:dyDescent="0.3">
      <c r="A355" t="s">
        <v>500</v>
      </c>
      <c r="B355" t="s">
        <v>499</v>
      </c>
      <c r="C355">
        <f t="shared" si="5"/>
        <v>45748</v>
      </c>
      <c r="D355">
        <v>6000</v>
      </c>
      <c r="E355" t="str">
        <f>INDEX(Accounts!$B$2:$B$9,MATCH(D355,Accounts!$A$2:$A$9,0))</f>
        <v>Salaries &amp; Wages</v>
      </c>
      <c r="F355" t="str">
        <f>INDEX(Accounts!$C$2:$C$9,MATCH(D355,Accounts!$A$2:$A$9,0))</f>
        <v>Operating Expense</v>
      </c>
      <c r="G355" t="s">
        <v>43</v>
      </c>
      <c r="H355" t="s">
        <v>42</v>
      </c>
      <c r="I355">
        <v>26585</v>
      </c>
    </row>
    <row r="356" spans="1:9" x14ac:dyDescent="0.3">
      <c r="A356" t="s">
        <v>501</v>
      </c>
      <c r="B356" t="s">
        <v>502</v>
      </c>
      <c r="C356">
        <f t="shared" si="5"/>
        <v>45748</v>
      </c>
      <c r="D356">
        <v>4000</v>
      </c>
      <c r="E356" t="str">
        <f>INDEX(Accounts!$B$2:$B$9,MATCH(D356,Accounts!$A$2:$A$9,0))</f>
        <v>Product Sales</v>
      </c>
      <c r="F356" t="str">
        <f>INDEX(Accounts!$C$2:$C$9,MATCH(D356,Accounts!$A$2:$A$9,0))</f>
        <v>Revenue</v>
      </c>
      <c r="G356" t="s">
        <v>47</v>
      </c>
      <c r="H356" t="s">
        <v>44</v>
      </c>
      <c r="I356">
        <v>70260</v>
      </c>
    </row>
    <row r="357" spans="1:9" x14ac:dyDescent="0.3">
      <c r="A357" t="s">
        <v>503</v>
      </c>
      <c r="B357" t="s">
        <v>502</v>
      </c>
      <c r="C357">
        <f t="shared" si="5"/>
        <v>45748</v>
      </c>
      <c r="D357">
        <v>6100</v>
      </c>
      <c r="E357" t="str">
        <f>INDEX(Accounts!$B$2:$B$9,MATCH(D357,Accounts!$A$2:$A$9,0))</f>
        <v>Marketing Expense</v>
      </c>
      <c r="F357" t="str">
        <f>INDEX(Accounts!$C$2:$C$9,MATCH(D357,Accounts!$A$2:$A$9,0))</f>
        <v>Operating Expense</v>
      </c>
      <c r="G357" t="s">
        <v>43</v>
      </c>
      <c r="H357" t="s">
        <v>46</v>
      </c>
      <c r="I357">
        <v>9648</v>
      </c>
    </row>
    <row r="358" spans="1:9" x14ac:dyDescent="0.3">
      <c r="A358" t="s">
        <v>504</v>
      </c>
      <c r="B358" t="s">
        <v>505</v>
      </c>
      <c r="C358">
        <f t="shared" si="5"/>
        <v>45748</v>
      </c>
      <c r="D358">
        <v>6400</v>
      </c>
      <c r="E358" t="str">
        <f>INDEX(Accounts!$B$2:$B$9,MATCH(D358,Accounts!$A$2:$A$9,0))</f>
        <v>Software &amp; Admin</v>
      </c>
      <c r="F358" t="str">
        <f>INDEX(Accounts!$C$2:$C$9,MATCH(D358,Accounts!$A$2:$A$9,0))</f>
        <v>Operating Expense</v>
      </c>
      <c r="G358" t="s">
        <v>45</v>
      </c>
      <c r="H358" t="s">
        <v>46</v>
      </c>
      <c r="I358">
        <v>8355</v>
      </c>
    </row>
    <row r="359" spans="1:9" x14ac:dyDescent="0.3">
      <c r="A359" t="s">
        <v>506</v>
      </c>
      <c r="B359" t="s">
        <v>505</v>
      </c>
      <c r="C359">
        <f t="shared" si="5"/>
        <v>45748</v>
      </c>
      <c r="D359">
        <v>6000</v>
      </c>
      <c r="E359" t="str">
        <f>INDEX(Accounts!$B$2:$B$9,MATCH(D359,Accounts!$A$2:$A$9,0))</f>
        <v>Salaries &amp; Wages</v>
      </c>
      <c r="F359" t="str">
        <f>INDEX(Accounts!$C$2:$C$9,MATCH(D359,Accounts!$A$2:$A$9,0))</f>
        <v>Operating Expense</v>
      </c>
      <c r="G359" t="s">
        <v>41</v>
      </c>
      <c r="H359" t="s">
        <v>44</v>
      </c>
      <c r="I359">
        <v>34621</v>
      </c>
    </row>
    <row r="360" spans="1:9" x14ac:dyDescent="0.3">
      <c r="A360" t="s">
        <v>507</v>
      </c>
      <c r="B360" t="s">
        <v>505</v>
      </c>
      <c r="C360">
        <f t="shared" si="5"/>
        <v>45748</v>
      </c>
      <c r="D360">
        <v>4000</v>
      </c>
      <c r="E360" t="str">
        <f>INDEX(Accounts!$B$2:$B$9,MATCH(D360,Accounts!$A$2:$A$9,0))</f>
        <v>Product Sales</v>
      </c>
      <c r="F360" t="str">
        <f>INDEX(Accounts!$C$2:$C$9,MATCH(D360,Accounts!$A$2:$A$9,0))</f>
        <v>Revenue</v>
      </c>
      <c r="G360" t="s">
        <v>48</v>
      </c>
      <c r="H360" t="s">
        <v>46</v>
      </c>
      <c r="I360">
        <v>112894</v>
      </c>
    </row>
    <row r="361" spans="1:9" x14ac:dyDescent="0.3">
      <c r="A361" t="s">
        <v>508</v>
      </c>
      <c r="B361" t="s">
        <v>505</v>
      </c>
      <c r="C361">
        <f t="shared" si="5"/>
        <v>45748</v>
      </c>
      <c r="D361">
        <v>6100</v>
      </c>
      <c r="E361" t="str">
        <f>INDEX(Accounts!$B$2:$B$9,MATCH(D361,Accounts!$A$2:$A$9,0))</f>
        <v>Marketing Expense</v>
      </c>
      <c r="F361" t="str">
        <f>INDEX(Accounts!$C$2:$C$9,MATCH(D361,Accounts!$A$2:$A$9,0))</f>
        <v>Operating Expense</v>
      </c>
      <c r="G361" t="s">
        <v>45</v>
      </c>
      <c r="H361" t="s">
        <v>46</v>
      </c>
      <c r="I361">
        <v>14045</v>
      </c>
    </row>
    <row r="362" spans="1:9" x14ac:dyDescent="0.3">
      <c r="A362" t="s">
        <v>509</v>
      </c>
      <c r="B362" t="s">
        <v>505</v>
      </c>
      <c r="C362">
        <f t="shared" si="5"/>
        <v>45748</v>
      </c>
      <c r="D362">
        <v>4000</v>
      </c>
      <c r="E362" t="str">
        <f>INDEX(Accounts!$B$2:$B$9,MATCH(D362,Accounts!$A$2:$A$9,0))</f>
        <v>Product Sales</v>
      </c>
      <c r="F362" t="str">
        <f>INDEX(Accounts!$C$2:$C$9,MATCH(D362,Accounts!$A$2:$A$9,0))</f>
        <v>Revenue</v>
      </c>
      <c r="G362" t="s">
        <v>41</v>
      </c>
      <c r="H362" t="s">
        <v>42</v>
      </c>
      <c r="I362">
        <v>87058</v>
      </c>
    </row>
    <row r="363" spans="1:9" x14ac:dyDescent="0.3">
      <c r="A363" t="s">
        <v>510</v>
      </c>
      <c r="B363" t="s">
        <v>505</v>
      </c>
      <c r="C363">
        <f t="shared" si="5"/>
        <v>45748</v>
      </c>
      <c r="D363">
        <v>5000</v>
      </c>
      <c r="E363" t="str">
        <f>INDEX(Accounts!$B$2:$B$9,MATCH(D363,Accounts!$A$2:$A$9,0))</f>
        <v>Cost of Goods Sold</v>
      </c>
      <c r="F363" t="str">
        <f>INDEX(Accounts!$C$2:$C$9,MATCH(D363,Accounts!$A$2:$A$9,0))</f>
        <v>COGS</v>
      </c>
      <c r="G363" t="s">
        <v>41</v>
      </c>
      <c r="H363" t="s">
        <v>42</v>
      </c>
      <c r="I363">
        <v>17232</v>
      </c>
    </row>
    <row r="364" spans="1:9" x14ac:dyDescent="0.3">
      <c r="A364" t="s">
        <v>511</v>
      </c>
      <c r="B364" t="s">
        <v>505</v>
      </c>
      <c r="C364">
        <f t="shared" si="5"/>
        <v>45748</v>
      </c>
      <c r="D364">
        <v>6400</v>
      </c>
      <c r="E364" t="str">
        <f>INDEX(Accounts!$B$2:$B$9,MATCH(D364,Accounts!$A$2:$A$9,0))</f>
        <v>Software &amp; Admin</v>
      </c>
      <c r="F364" t="str">
        <f>INDEX(Accounts!$C$2:$C$9,MATCH(D364,Accounts!$A$2:$A$9,0))</f>
        <v>Operating Expense</v>
      </c>
      <c r="G364" t="s">
        <v>48</v>
      </c>
      <c r="H364" t="s">
        <v>44</v>
      </c>
      <c r="I364">
        <v>6123</v>
      </c>
    </row>
    <row r="365" spans="1:9" x14ac:dyDescent="0.3">
      <c r="A365" t="s">
        <v>512</v>
      </c>
      <c r="B365" t="s">
        <v>513</v>
      </c>
      <c r="C365">
        <f t="shared" si="5"/>
        <v>45748</v>
      </c>
      <c r="D365">
        <v>6100</v>
      </c>
      <c r="E365" t="str">
        <f>INDEX(Accounts!$B$2:$B$9,MATCH(D365,Accounts!$A$2:$A$9,0))</f>
        <v>Marketing Expense</v>
      </c>
      <c r="F365" t="str">
        <f>INDEX(Accounts!$C$2:$C$9,MATCH(D365,Accounts!$A$2:$A$9,0))</f>
        <v>Operating Expense</v>
      </c>
      <c r="G365" t="s">
        <v>43</v>
      </c>
      <c r="H365" t="s">
        <v>42</v>
      </c>
      <c r="I365">
        <v>7649</v>
      </c>
    </row>
    <row r="366" spans="1:9" x14ac:dyDescent="0.3">
      <c r="A366" t="s">
        <v>514</v>
      </c>
      <c r="B366" t="s">
        <v>513</v>
      </c>
      <c r="C366">
        <f t="shared" si="5"/>
        <v>45748</v>
      </c>
      <c r="D366">
        <v>4000</v>
      </c>
      <c r="E366" t="str">
        <f>INDEX(Accounts!$B$2:$B$9,MATCH(D366,Accounts!$A$2:$A$9,0))</f>
        <v>Product Sales</v>
      </c>
      <c r="F366" t="str">
        <f>INDEX(Accounts!$C$2:$C$9,MATCH(D366,Accounts!$A$2:$A$9,0))</f>
        <v>Revenue</v>
      </c>
      <c r="G366" t="s">
        <v>48</v>
      </c>
      <c r="H366" t="s">
        <v>44</v>
      </c>
      <c r="I366">
        <v>57812</v>
      </c>
    </row>
    <row r="367" spans="1:9" x14ac:dyDescent="0.3">
      <c r="A367" t="s">
        <v>515</v>
      </c>
      <c r="B367" t="s">
        <v>513</v>
      </c>
      <c r="C367">
        <f t="shared" si="5"/>
        <v>45748</v>
      </c>
      <c r="D367">
        <v>6000</v>
      </c>
      <c r="E367" t="str">
        <f>INDEX(Accounts!$B$2:$B$9,MATCH(D367,Accounts!$A$2:$A$9,0))</f>
        <v>Salaries &amp; Wages</v>
      </c>
      <c r="F367" t="str">
        <f>INDEX(Accounts!$C$2:$C$9,MATCH(D367,Accounts!$A$2:$A$9,0))</f>
        <v>Operating Expense</v>
      </c>
      <c r="G367" t="s">
        <v>45</v>
      </c>
      <c r="H367" t="s">
        <v>44</v>
      </c>
      <c r="I367">
        <v>25254</v>
      </c>
    </row>
    <row r="368" spans="1:9" x14ac:dyDescent="0.3">
      <c r="A368" t="s">
        <v>516</v>
      </c>
      <c r="B368" t="s">
        <v>513</v>
      </c>
      <c r="C368">
        <f t="shared" si="5"/>
        <v>45748</v>
      </c>
      <c r="D368">
        <v>6200</v>
      </c>
      <c r="E368" t="str">
        <f>INDEX(Accounts!$B$2:$B$9,MATCH(D368,Accounts!$A$2:$A$9,0))</f>
        <v>Rent &amp; Utilities</v>
      </c>
      <c r="F368" t="str">
        <f>INDEX(Accounts!$C$2:$C$9,MATCH(D368,Accounts!$A$2:$A$9,0))</f>
        <v>Operating Expense</v>
      </c>
      <c r="G368" t="s">
        <v>45</v>
      </c>
      <c r="H368" t="s">
        <v>46</v>
      </c>
      <c r="I368">
        <v>4946</v>
      </c>
    </row>
    <row r="369" spans="1:9" x14ac:dyDescent="0.3">
      <c r="A369" t="s">
        <v>517</v>
      </c>
      <c r="B369" t="s">
        <v>518</v>
      </c>
      <c r="C369">
        <f t="shared" si="5"/>
        <v>45748</v>
      </c>
      <c r="D369">
        <v>4000</v>
      </c>
      <c r="E369" t="str">
        <f>INDEX(Accounts!$B$2:$B$9,MATCH(D369,Accounts!$A$2:$A$9,0))</f>
        <v>Product Sales</v>
      </c>
      <c r="F369" t="str">
        <f>INDEX(Accounts!$C$2:$C$9,MATCH(D369,Accounts!$A$2:$A$9,0))</f>
        <v>Revenue</v>
      </c>
      <c r="G369" t="s">
        <v>41</v>
      </c>
      <c r="H369" t="s">
        <v>46</v>
      </c>
      <c r="I369">
        <v>144829</v>
      </c>
    </row>
    <row r="370" spans="1:9" x14ac:dyDescent="0.3">
      <c r="A370" t="s">
        <v>519</v>
      </c>
      <c r="B370" t="s">
        <v>518</v>
      </c>
      <c r="C370">
        <f t="shared" si="5"/>
        <v>45748</v>
      </c>
      <c r="D370">
        <v>5000</v>
      </c>
      <c r="E370" t="str">
        <f>INDEX(Accounts!$B$2:$B$9,MATCH(D370,Accounts!$A$2:$A$9,0))</f>
        <v>Cost of Goods Sold</v>
      </c>
      <c r="F370" t="str">
        <f>INDEX(Accounts!$C$2:$C$9,MATCH(D370,Accounts!$A$2:$A$9,0))</f>
        <v>COGS</v>
      </c>
      <c r="G370" t="s">
        <v>45</v>
      </c>
      <c r="H370" t="s">
        <v>42</v>
      </c>
      <c r="I370">
        <v>45399</v>
      </c>
    </row>
    <row r="371" spans="1:9" x14ac:dyDescent="0.3">
      <c r="A371" t="s">
        <v>520</v>
      </c>
      <c r="B371" t="s">
        <v>518</v>
      </c>
      <c r="C371">
        <f t="shared" si="5"/>
        <v>45748</v>
      </c>
      <c r="D371">
        <v>4100</v>
      </c>
      <c r="E371" t="str">
        <f>INDEX(Accounts!$B$2:$B$9,MATCH(D371,Accounts!$A$2:$A$9,0))</f>
        <v>Sales Returns &amp; Discounts</v>
      </c>
      <c r="F371" t="str">
        <f>INDEX(Accounts!$C$2:$C$9,MATCH(D371,Accounts!$A$2:$A$9,0))</f>
        <v>Contra Revenue</v>
      </c>
      <c r="G371" t="s">
        <v>45</v>
      </c>
      <c r="H371" t="s">
        <v>44</v>
      </c>
      <c r="I371">
        <v>3730</v>
      </c>
    </row>
    <row r="372" spans="1:9" x14ac:dyDescent="0.3">
      <c r="A372" t="s">
        <v>521</v>
      </c>
      <c r="B372" t="s">
        <v>518</v>
      </c>
      <c r="C372">
        <f t="shared" si="5"/>
        <v>45748</v>
      </c>
      <c r="D372">
        <v>4000</v>
      </c>
      <c r="E372" t="str">
        <f>INDEX(Accounts!$B$2:$B$9,MATCH(D372,Accounts!$A$2:$A$9,0))</f>
        <v>Product Sales</v>
      </c>
      <c r="F372" t="str">
        <f>INDEX(Accounts!$C$2:$C$9,MATCH(D372,Accounts!$A$2:$A$9,0))</f>
        <v>Revenue</v>
      </c>
      <c r="G372" t="s">
        <v>43</v>
      </c>
      <c r="H372" t="s">
        <v>46</v>
      </c>
      <c r="I372">
        <v>84105</v>
      </c>
    </row>
    <row r="373" spans="1:9" x14ac:dyDescent="0.3">
      <c r="A373" t="s">
        <v>522</v>
      </c>
      <c r="B373" t="s">
        <v>518</v>
      </c>
      <c r="C373">
        <f t="shared" si="5"/>
        <v>45748</v>
      </c>
      <c r="D373">
        <v>5000</v>
      </c>
      <c r="E373" t="str">
        <f>INDEX(Accounts!$B$2:$B$9,MATCH(D373,Accounts!$A$2:$A$9,0))</f>
        <v>Cost of Goods Sold</v>
      </c>
      <c r="F373" t="str">
        <f>INDEX(Accounts!$C$2:$C$9,MATCH(D373,Accounts!$A$2:$A$9,0))</f>
        <v>COGS</v>
      </c>
      <c r="G373" t="s">
        <v>45</v>
      </c>
      <c r="H373" t="s">
        <v>42</v>
      </c>
      <c r="I373">
        <v>36809</v>
      </c>
    </row>
    <row r="374" spans="1:9" x14ac:dyDescent="0.3">
      <c r="A374" t="s">
        <v>523</v>
      </c>
      <c r="B374" t="s">
        <v>518</v>
      </c>
      <c r="C374">
        <f t="shared" si="5"/>
        <v>45748</v>
      </c>
      <c r="D374">
        <v>6000</v>
      </c>
      <c r="E374" t="str">
        <f>INDEX(Accounts!$B$2:$B$9,MATCH(D374,Accounts!$A$2:$A$9,0))</f>
        <v>Salaries &amp; Wages</v>
      </c>
      <c r="F374" t="str">
        <f>INDEX(Accounts!$C$2:$C$9,MATCH(D374,Accounts!$A$2:$A$9,0))</f>
        <v>Operating Expense</v>
      </c>
      <c r="G374" t="s">
        <v>47</v>
      </c>
      <c r="H374" t="s">
        <v>44</v>
      </c>
      <c r="I374">
        <v>9388</v>
      </c>
    </row>
    <row r="375" spans="1:9" x14ac:dyDescent="0.3">
      <c r="A375" t="s">
        <v>524</v>
      </c>
      <c r="B375" t="s">
        <v>525</v>
      </c>
      <c r="C375">
        <f t="shared" si="5"/>
        <v>45748</v>
      </c>
      <c r="D375">
        <v>6300</v>
      </c>
      <c r="E375" t="str">
        <f>INDEX(Accounts!$B$2:$B$9,MATCH(D375,Accounts!$A$2:$A$9,0))</f>
        <v>Logistics Expense</v>
      </c>
      <c r="F375" t="str">
        <f>INDEX(Accounts!$C$2:$C$9,MATCH(D375,Accounts!$A$2:$A$9,0))</f>
        <v>Operating Expense</v>
      </c>
      <c r="G375" t="s">
        <v>41</v>
      </c>
      <c r="H375" t="s">
        <v>44</v>
      </c>
      <c r="I375">
        <v>8032</v>
      </c>
    </row>
    <row r="376" spans="1:9" x14ac:dyDescent="0.3">
      <c r="A376" t="s">
        <v>526</v>
      </c>
      <c r="B376" t="s">
        <v>525</v>
      </c>
      <c r="C376">
        <f t="shared" si="5"/>
        <v>45748</v>
      </c>
      <c r="D376">
        <v>6300</v>
      </c>
      <c r="E376" t="str">
        <f>INDEX(Accounts!$B$2:$B$9,MATCH(D376,Accounts!$A$2:$A$9,0))</f>
        <v>Logistics Expense</v>
      </c>
      <c r="F376" t="str">
        <f>INDEX(Accounts!$C$2:$C$9,MATCH(D376,Accounts!$A$2:$A$9,0))</f>
        <v>Operating Expense</v>
      </c>
      <c r="G376" t="s">
        <v>41</v>
      </c>
      <c r="H376" t="s">
        <v>44</v>
      </c>
      <c r="I376">
        <v>11600</v>
      </c>
    </row>
    <row r="377" spans="1:9" x14ac:dyDescent="0.3">
      <c r="A377" t="s">
        <v>527</v>
      </c>
      <c r="B377" t="s">
        <v>528</v>
      </c>
      <c r="C377">
        <f t="shared" si="5"/>
        <v>45748</v>
      </c>
      <c r="D377">
        <v>5000</v>
      </c>
      <c r="E377" t="str">
        <f>INDEX(Accounts!$B$2:$B$9,MATCH(D377,Accounts!$A$2:$A$9,0))</f>
        <v>Cost of Goods Sold</v>
      </c>
      <c r="F377" t="str">
        <f>INDEX(Accounts!$C$2:$C$9,MATCH(D377,Accounts!$A$2:$A$9,0))</f>
        <v>COGS</v>
      </c>
      <c r="G377" t="s">
        <v>45</v>
      </c>
      <c r="H377" t="s">
        <v>42</v>
      </c>
      <c r="I377">
        <v>10040</v>
      </c>
    </row>
    <row r="378" spans="1:9" x14ac:dyDescent="0.3">
      <c r="A378" t="s">
        <v>529</v>
      </c>
      <c r="B378" t="s">
        <v>528</v>
      </c>
      <c r="C378">
        <f t="shared" si="5"/>
        <v>45748</v>
      </c>
      <c r="D378">
        <v>5000</v>
      </c>
      <c r="E378" t="str">
        <f>INDEX(Accounts!$B$2:$B$9,MATCH(D378,Accounts!$A$2:$A$9,0))</f>
        <v>Cost of Goods Sold</v>
      </c>
      <c r="F378" t="str">
        <f>INDEX(Accounts!$C$2:$C$9,MATCH(D378,Accounts!$A$2:$A$9,0))</f>
        <v>COGS</v>
      </c>
      <c r="G378" t="s">
        <v>45</v>
      </c>
      <c r="H378" t="s">
        <v>46</v>
      </c>
      <c r="I378">
        <v>17023</v>
      </c>
    </row>
    <row r="379" spans="1:9" x14ac:dyDescent="0.3">
      <c r="A379" t="s">
        <v>530</v>
      </c>
      <c r="B379" t="s">
        <v>528</v>
      </c>
      <c r="C379">
        <f t="shared" si="5"/>
        <v>45748</v>
      </c>
      <c r="D379">
        <v>6400</v>
      </c>
      <c r="E379" t="str">
        <f>INDEX(Accounts!$B$2:$B$9,MATCH(D379,Accounts!$A$2:$A$9,0))</f>
        <v>Software &amp; Admin</v>
      </c>
      <c r="F379" t="str">
        <f>INDEX(Accounts!$C$2:$C$9,MATCH(D379,Accounts!$A$2:$A$9,0))</f>
        <v>Operating Expense</v>
      </c>
      <c r="G379" t="s">
        <v>43</v>
      </c>
      <c r="H379" t="s">
        <v>44</v>
      </c>
      <c r="I379">
        <v>2292</v>
      </c>
    </row>
    <row r="380" spans="1:9" x14ac:dyDescent="0.3">
      <c r="A380" t="s">
        <v>531</v>
      </c>
      <c r="B380" t="s">
        <v>532</v>
      </c>
      <c r="C380">
        <f t="shared" si="5"/>
        <v>45748</v>
      </c>
      <c r="D380">
        <v>5000</v>
      </c>
      <c r="E380" t="str">
        <f>INDEX(Accounts!$B$2:$B$9,MATCH(D380,Accounts!$A$2:$A$9,0))</f>
        <v>Cost of Goods Sold</v>
      </c>
      <c r="F380" t="str">
        <f>INDEX(Accounts!$C$2:$C$9,MATCH(D380,Accounts!$A$2:$A$9,0))</f>
        <v>COGS</v>
      </c>
      <c r="G380" t="s">
        <v>41</v>
      </c>
      <c r="H380" t="s">
        <v>42</v>
      </c>
      <c r="I380">
        <v>32570</v>
      </c>
    </row>
    <row r="381" spans="1:9" x14ac:dyDescent="0.3">
      <c r="A381" t="s">
        <v>533</v>
      </c>
      <c r="B381" t="s">
        <v>532</v>
      </c>
      <c r="C381">
        <f t="shared" si="5"/>
        <v>45748</v>
      </c>
      <c r="D381">
        <v>6300</v>
      </c>
      <c r="E381" t="str">
        <f>INDEX(Accounts!$B$2:$B$9,MATCH(D381,Accounts!$A$2:$A$9,0))</f>
        <v>Logistics Expense</v>
      </c>
      <c r="F381" t="str">
        <f>INDEX(Accounts!$C$2:$C$9,MATCH(D381,Accounts!$A$2:$A$9,0))</f>
        <v>Operating Expense</v>
      </c>
      <c r="G381" t="s">
        <v>41</v>
      </c>
      <c r="H381" t="s">
        <v>44</v>
      </c>
      <c r="I381">
        <v>7616</v>
      </c>
    </row>
    <row r="382" spans="1:9" x14ac:dyDescent="0.3">
      <c r="A382" t="s">
        <v>534</v>
      </c>
      <c r="B382" t="s">
        <v>532</v>
      </c>
      <c r="C382">
        <f t="shared" si="5"/>
        <v>45748</v>
      </c>
      <c r="D382">
        <v>6400</v>
      </c>
      <c r="E382" t="str">
        <f>INDEX(Accounts!$B$2:$B$9,MATCH(D382,Accounts!$A$2:$A$9,0))</f>
        <v>Software &amp; Admin</v>
      </c>
      <c r="F382" t="str">
        <f>INDEX(Accounts!$C$2:$C$9,MATCH(D382,Accounts!$A$2:$A$9,0))</f>
        <v>Operating Expense</v>
      </c>
      <c r="G382" t="s">
        <v>41</v>
      </c>
      <c r="H382" t="s">
        <v>42</v>
      </c>
      <c r="I382">
        <v>8371</v>
      </c>
    </row>
    <row r="383" spans="1:9" x14ac:dyDescent="0.3">
      <c r="A383" t="s">
        <v>535</v>
      </c>
      <c r="B383" t="s">
        <v>536</v>
      </c>
      <c r="C383">
        <f t="shared" si="5"/>
        <v>45748</v>
      </c>
      <c r="D383">
        <v>6400</v>
      </c>
      <c r="E383" t="str">
        <f>INDEX(Accounts!$B$2:$B$9,MATCH(D383,Accounts!$A$2:$A$9,0))</f>
        <v>Software &amp; Admin</v>
      </c>
      <c r="F383" t="str">
        <f>INDEX(Accounts!$C$2:$C$9,MATCH(D383,Accounts!$A$2:$A$9,0))</f>
        <v>Operating Expense</v>
      </c>
      <c r="G383" t="s">
        <v>47</v>
      </c>
      <c r="H383" t="s">
        <v>46</v>
      </c>
      <c r="I383">
        <v>3267</v>
      </c>
    </row>
    <row r="384" spans="1:9" x14ac:dyDescent="0.3">
      <c r="A384" t="s">
        <v>537</v>
      </c>
      <c r="B384" t="s">
        <v>536</v>
      </c>
      <c r="C384">
        <f t="shared" si="5"/>
        <v>45748</v>
      </c>
      <c r="D384">
        <v>4000</v>
      </c>
      <c r="E384" t="str">
        <f>INDEX(Accounts!$B$2:$B$9,MATCH(D384,Accounts!$A$2:$A$9,0))</f>
        <v>Product Sales</v>
      </c>
      <c r="F384" t="str">
        <f>INDEX(Accounts!$C$2:$C$9,MATCH(D384,Accounts!$A$2:$A$9,0))</f>
        <v>Revenue</v>
      </c>
      <c r="G384" t="s">
        <v>45</v>
      </c>
      <c r="H384" t="s">
        <v>46</v>
      </c>
      <c r="I384">
        <v>119530</v>
      </c>
    </row>
    <row r="385" spans="1:9" x14ac:dyDescent="0.3">
      <c r="A385" t="s">
        <v>538</v>
      </c>
      <c r="B385" t="s">
        <v>536</v>
      </c>
      <c r="C385">
        <f t="shared" si="5"/>
        <v>45748</v>
      </c>
      <c r="D385">
        <v>5000</v>
      </c>
      <c r="E385" t="str">
        <f>INDEX(Accounts!$B$2:$B$9,MATCH(D385,Accounts!$A$2:$A$9,0))</f>
        <v>Cost of Goods Sold</v>
      </c>
      <c r="F385" t="str">
        <f>INDEX(Accounts!$C$2:$C$9,MATCH(D385,Accounts!$A$2:$A$9,0))</f>
        <v>COGS</v>
      </c>
      <c r="G385" t="s">
        <v>41</v>
      </c>
      <c r="H385" t="s">
        <v>46</v>
      </c>
      <c r="I385">
        <v>17415</v>
      </c>
    </row>
    <row r="386" spans="1:9" x14ac:dyDescent="0.3">
      <c r="A386" t="s">
        <v>539</v>
      </c>
      <c r="B386" t="s">
        <v>540</v>
      </c>
      <c r="C386">
        <f t="shared" ref="C386:C449" si="6">DATE(YEAR(B386),MONTH(B386),1)</f>
        <v>45748</v>
      </c>
      <c r="D386">
        <v>6100</v>
      </c>
      <c r="E386" t="str">
        <f>INDEX(Accounts!$B$2:$B$9,MATCH(D386,Accounts!$A$2:$A$9,0))</f>
        <v>Marketing Expense</v>
      </c>
      <c r="F386" t="str">
        <f>INDEX(Accounts!$C$2:$C$9,MATCH(D386,Accounts!$A$2:$A$9,0))</f>
        <v>Operating Expense</v>
      </c>
      <c r="G386" t="s">
        <v>45</v>
      </c>
      <c r="H386" t="s">
        <v>46</v>
      </c>
      <c r="I386">
        <v>10641</v>
      </c>
    </row>
    <row r="387" spans="1:9" x14ac:dyDescent="0.3">
      <c r="A387" t="s">
        <v>541</v>
      </c>
      <c r="B387" t="s">
        <v>540</v>
      </c>
      <c r="C387">
        <f t="shared" si="6"/>
        <v>45748</v>
      </c>
      <c r="D387">
        <v>6300</v>
      </c>
      <c r="E387" t="str">
        <f>INDEX(Accounts!$B$2:$B$9,MATCH(D387,Accounts!$A$2:$A$9,0))</f>
        <v>Logistics Expense</v>
      </c>
      <c r="F387" t="str">
        <f>INDEX(Accounts!$C$2:$C$9,MATCH(D387,Accounts!$A$2:$A$9,0))</f>
        <v>Operating Expense</v>
      </c>
      <c r="G387" t="s">
        <v>48</v>
      </c>
      <c r="H387" t="s">
        <v>44</v>
      </c>
      <c r="I387">
        <v>2372</v>
      </c>
    </row>
    <row r="388" spans="1:9" x14ac:dyDescent="0.3">
      <c r="A388" t="s">
        <v>542</v>
      </c>
      <c r="B388" t="s">
        <v>540</v>
      </c>
      <c r="C388">
        <f t="shared" si="6"/>
        <v>45748</v>
      </c>
      <c r="D388">
        <v>4000</v>
      </c>
      <c r="E388" t="str">
        <f>INDEX(Accounts!$B$2:$B$9,MATCH(D388,Accounts!$A$2:$A$9,0))</f>
        <v>Product Sales</v>
      </c>
      <c r="F388" t="str">
        <f>INDEX(Accounts!$C$2:$C$9,MATCH(D388,Accounts!$A$2:$A$9,0))</f>
        <v>Revenue</v>
      </c>
      <c r="G388" t="s">
        <v>45</v>
      </c>
      <c r="H388" t="s">
        <v>46</v>
      </c>
      <c r="I388">
        <v>153765</v>
      </c>
    </row>
    <row r="389" spans="1:9" x14ac:dyDescent="0.3">
      <c r="A389" t="s">
        <v>543</v>
      </c>
      <c r="B389" t="s">
        <v>540</v>
      </c>
      <c r="C389">
        <f t="shared" si="6"/>
        <v>45748</v>
      </c>
      <c r="D389">
        <v>6200</v>
      </c>
      <c r="E389" t="str">
        <f>INDEX(Accounts!$B$2:$B$9,MATCH(D389,Accounts!$A$2:$A$9,0))</f>
        <v>Rent &amp; Utilities</v>
      </c>
      <c r="F389" t="str">
        <f>INDEX(Accounts!$C$2:$C$9,MATCH(D389,Accounts!$A$2:$A$9,0))</f>
        <v>Operating Expense</v>
      </c>
      <c r="G389" t="s">
        <v>43</v>
      </c>
      <c r="H389" t="s">
        <v>46</v>
      </c>
      <c r="I389">
        <v>4412</v>
      </c>
    </row>
    <row r="390" spans="1:9" x14ac:dyDescent="0.3">
      <c r="A390" t="s">
        <v>544</v>
      </c>
      <c r="B390" t="s">
        <v>545</v>
      </c>
      <c r="C390">
        <f t="shared" si="6"/>
        <v>45748</v>
      </c>
      <c r="D390">
        <v>6300</v>
      </c>
      <c r="E390" t="str">
        <f>INDEX(Accounts!$B$2:$B$9,MATCH(D390,Accounts!$A$2:$A$9,0))</f>
        <v>Logistics Expense</v>
      </c>
      <c r="F390" t="str">
        <f>INDEX(Accounts!$C$2:$C$9,MATCH(D390,Accounts!$A$2:$A$9,0))</f>
        <v>Operating Expense</v>
      </c>
      <c r="G390" t="s">
        <v>43</v>
      </c>
      <c r="H390" t="s">
        <v>42</v>
      </c>
      <c r="I390">
        <v>7942</v>
      </c>
    </row>
    <row r="391" spans="1:9" x14ac:dyDescent="0.3">
      <c r="A391" t="s">
        <v>546</v>
      </c>
      <c r="B391" t="s">
        <v>547</v>
      </c>
      <c r="C391">
        <f t="shared" si="6"/>
        <v>45748</v>
      </c>
      <c r="D391">
        <v>4000</v>
      </c>
      <c r="E391" t="str">
        <f>INDEX(Accounts!$B$2:$B$9,MATCH(D391,Accounts!$A$2:$A$9,0))</f>
        <v>Product Sales</v>
      </c>
      <c r="F391" t="str">
        <f>INDEX(Accounts!$C$2:$C$9,MATCH(D391,Accounts!$A$2:$A$9,0))</f>
        <v>Revenue</v>
      </c>
      <c r="G391" t="s">
        <v>45</v>
      </c>
      <c r="H391" t="s">
        <v>46</v>
      </c>
      <c r="I391">
        <v>119851</v>
      </c>
    </row>
    <row r="392" spans="1:9" x14ac:dyDescent="0.3">
      <c r="A392" t="s">
        <v>548</v>
      </c>
      <c r="B392" t="s">
        <v>547</v>
      </c>
      <c r="C392">
        <f t="shared" si="6"/>
        <v>45748</v>
      </c>
      <c r="D392">
        <v>5000</v>
      </c>
      <c r="E392" t="str">
        <f>INDEX(Accounts!$B$2:$B$9,MATCH(D392,Accounts!$A$2:$A$9,0))</f>
        <v>Cost of Goods Sold</v>
      </c>
      <c r="F392" t="str">
        <f>INDEX(Accounts!$C$2:$C$9,MATCH(D392,Accounts!$A$2:$A$9,0))</f>
        <v>COGS</v>
      </c>
      <c r="G392" t="s">
        <v>47</v>
      </c>
      <c r="H392" t="s">
        <v>44</v>
      </c>
      <c r="I392">
        <v>24601</v>
      </c>
    </row>
    <row r="393" spans="1:9" x14ac:dyDescent="0.3">
      <c r="A393" t="s">
        <v>549</v>
      </c>
      <c r="B393" t="s">
        <v>547</v>
      </c>
      <c r="C393">
        <f t="shared" si="6"/>
        <v>45748</v>
      </c>
      <c r="D393">
        <v>5000</v>
      </c>
      <c r="E393" t="str">
        <f>INDEX(Accounts!$B$2:$B$9,MATCH(D393,Accounts!$A$2:$A$9,0))</f>
        <v>Cost of Goods Sold</v>
      </c>
      <c r="F393" t="str">
        <f>INDEX(Accounts!$C$2:$C$9,MATCH(D393,Accounts!$A$2:$A$9,0))</f>
        <v>COGS</v>
      </c>
      <c r="G393" t="s">
        <v>41</v>
      </c>
      <c r="H393" t="s">
        <v>44</v>
      </c>
      <c r="I393">
        <v>24358</v>
      </c>
    </row>
    <row r="394" spans="1:9" x14ac:dyDescent="0.3">
      <c r="A394" t="s">
        <v>550</v>
      </c>
      <c r="B394" t="s">
        <v>547</v>
      </c>
      <c r="C394">
        <f t="shared" si="6"/>
        <v>45748</v>
      </c>
      <c r="D394">
        <v>5000</v>
      </c>
      <c r="E394" t="str">
        <f>INDEX(Accounts!$B$2:$B$9,MATCH(D394,Accounts!$A$2:$A$9,0))</f>
        <v>Cost of Goods Sold</v>
      </c>
      <c r="F394" t="str">
        <f>INDEX(Accounts!$C$2:$C$9,MATCH(D394,Accounts!$A$2:$A$9,0))</f>
        <v>COGS</v>
      </c>
      <c r="G394" t="s">
        <v>43</v>
      </c>
      <c r="H394" t="s">
        <v>46</v>
      </c>
      <c r="I394">
        <v>12833</v>
      </c>
    </row>
    <row r="395" spans="1:9" x14ac:dyDescent="0.3">
      <c r="A395" t="s">
        <v>551</v>
      </c>
      <c r="B395" t="s">
        <v>547</v>
      </c>
      <c r="C395">
        <f t="shared" si="6"/>
        <v>45748</v>
      </c>
      <c r="D395">
        <v>5000</v>
      </c>
      <c r="E395" t="str">
        <f>INDEX(Accounts!$B$2:$B$9,MATCH(D395,Accounts!$A$2:$A$9,0))</f>
        <v>Cost of Goods Sold</v>
      </c>
      <c r="F395" t="str">
        <f>INDEX(Accounts!$C$2:$C$9,MATCH(D395,Accounts!$A$2:$A$9,0))</f>
        <v>COGS</v>
      </c>
      <c r="G395" t="s">
        <v>41</v>
      </c>
      <c r="H395" t="s">
        <v>46</v>
      </c>
      <c r="I395">
        <v>31127</v>
      </c>
    </row>
    <row r="396" spans="1:9" x14ac:dyDescent="0.3">
      <c r="A396" t="s">
        <v>552</v>
      </c>
      <c r="B396" t="s">
        <v>547</v>
      </c>
      <c r="C396">
        <f t="shared" si="6"/>
        <v>45748</v>
      </c>
      <c r="D396">
        <v>5000</v>
      </c>
      <c r="E396" t="str">
        <f>INDEX(Accounts!$B$2:$B$9,MATCH(D396,Accounts!$A$2:$A$9,0))</f>
        <v>Cost of Goods Sold</v>
      </c>
      <c r="F396" t="str">
        <f>INDEX(Accounts!$C$2:$C$9,MATCH(D396,Accounts!$A$2:$A$9,0))</f>
        <v>COGS</v>
      </c>
      <c r="G396" t="s">
        <v>45</v>
      </c>
      <c r="H396" t="s">
        <v>46</v>
      </c>
      <c r="I396">
        <v>17160</v>
      </c>
    </row>
    <row r="397" spans="1:9" x14ac:dyDescent="0.3">
      <c r="A397" t="s">
        <v>553</v>
      </c>
      <c r="B397" t="s">
        <v>554</v>
      </c>
      <c r="C397">
        <f t="shared" si="6"/>
        <v>45748</v>
      </c>
      <c r="D397">
        <v>4100</v>
      </c>
      <c r="E397" t="str">
        <f>INDEX(Accounts!$B$2:$B$9,MATCH(D397,Accounts!$A$2:$A$9,0))</f>
        <v>Sales Returns &amp; Discounts</v>
      </c>
      <c r="F397" t="str">
        <f>INDEX(Accounts!$C$2:$C$9,MATCH(D397,Accounts!$A$2:$A$9,0))</f>
        <v>Contra Revenue</v>
      </c>
      <c r="G397" t="s">
        <v>41</v>
      </c>
      <c r="H397" t="s">
        <v>44</v>
      </c>
      <c r="I397">
        <v>11828</v>
      </c>
    </row>
    <row r="398" spans="1:9" x14ac:dyDescent="0.3">
      <c r="A398" t="s">
        <v>555</v>
      </c>
      <c r="B398" t="s">
        <v>554</v>
      </c>
      <c r="C398">
        <f t="shared" si="6"/>
        <v>45748</v>
      </c>
      <c r="D398">
        <v>6000</v>
      </c>
      <c r="E398" t="str">
        <f>INDEX(Accounts!$B$2:$B$9,MATCH(D398,Accounts!$A$2:$A$9,0))</f>
        <v>Salaries &amp; Wages</v>
      </c>
      <c r="F398" t="str">
        <f>INDEX(Accounts!$C$2:$C$9,MATCH(D398,Accounts!$A$2:$A$9,0))</f>
        <v>Operating Expense</v>
      </c>
      <c r="G398" t="s">
        <v>47</v>
      </c>
      <c r="H398" t="s">
        <v>42</v>
      </c>
      <c r="I398">
        <v>28324</v>
      </c>
    </row>
    <row r="399" spans="1:9" x14ac:dyDescent="0.3">
      <c r="A399" t="s">
        <v>556</v>
      </c>
      <c r="B399" t="s">
        <v>554</v>
      </c>
      <c r="C399">
        <f t="shared" si="6"/>
        <v>45748</v>
      </c>
      <c r="D399">
        <v>4100</v>
      </c>
      <c r="E399" t="str">
        <f>INDEX(Accounts!$B$2:$B$9,MATCH(D399,Accounts!$A$2:$A$9,0))</f>
        <v>Sales Returns &amp; Discounts</v>
      </c>
      <c r="F399" t="str">
        <f>INDEX(Accounts!$C$2:$C$9,MATCH(D399,Accounts!$A$2:$A$9,0))</f>
        <v>Contra Revenue</v>
      </c>
      <c r="G399" t="s">
        <v>43</v>
      </c>
      <c r="H399" t="s">
        <v>44</v>
      </c>
      <c r="I399">
        <v>10008</v>
      </c>
    </row>
    <row r="400" spans="1:9" x14ac:dyDescent="0.3">
      <c r="A400" t="s">
        <v>557</v>
      </c>
      <c r="B400" t="s">
        <v>554</v>
      </c>
      <c r="C400">
        <f t="shared" si="6"/>
        <v>45748</v>
      </c>
      <c r="D400">
        <v>5000</v>
      </c>
      <c r="E400" t="str">
        <f>INDEX(Accounts!$B$2:$B$9,MATCH(D400,Accounts!$A$2:$A$9,0))</f>
        <v>Cost of Goods Sold</v>
      </c>
      <c r="F400" t="str">
        <f>INDEX(Accounts!$C$2:$C$9,MATCH(D400,Accounts!$A$2:$A$9,0))</f>
        <v>COGS</v>
      </c>
      <c r="G400" t="s">
        <v>43</v>
      </c>
      <c r="H400" t="s">
        <v>44</v>
      </c>
      <c r="I400">
        <v>61460</v>
      </c>
    </row>
    <row r="401" spans="1:9" x14ac:dyDescent="0.3">
      <c r="A401" t="s">
        <v>558</v>
      </c>
      <c r="B401" t="s">
        <v>559</v>
      </c>
      <c r="C401">
        <f t="shared" si="6"/>
        <v>45748</v>
      </c>
      <c r="D401">
        <v>4000</v>
      </c>
      <c r="E401" t="str">
        <f>INDEX(Accounts!$B$2:$B$9,MATCH(D401,Accounts!$A$2:$A$9,0))</f>
        <v>Product Sales</v>
      </c>
      <c r="F401" t="str">
        <f>INDEX(Accounts!$C$2:$C$9,MATCH(D401,Accounts!$A$2:$A$9,0))</f>
        <v>Revenue</v>
      </c>
      <c r="G401" t="s">
        <v>48</v>
      </c>
      <c r="H401" t="s">
        <v>44</v>
      </c>
      <c r="I401">
        <v>156822</v>
      </c>
    </row>
    <row r="402" spans="1:9" x14ac:dyDescent="0.3">
      <c r="A402" t="s">
        <v>560</v>
      </c>
      <c r="B402" t="s">
        <v>561</v>
      </c>
      <c r="C402">
        <f t="shared" si="6"/>
        <v>45748</v>
      </c>
      <c r="D402">
        <v>6100</v>
      </c>
      <c r="E402" t="str">
        <f>INDEX(Accounts!$B$2:$B$9,MATCH(D402,Accounts!$A$2:$A$9,0))</f>
        <v>Marketing Expense</v>
      </c>
      <c r="F402" t="str">
        <f>INDEX(Accounts!$C$2:$C$9,MATCH(D402,Accounts!$A$2:$A$9,0))</f>
        <v>Operating Expense</v>
      </c>
      <c r="G402" t="s">
        <v>45</v>
      </c>
      <c r="H402" t="s">
        <v>46</v>
      </c>
      <c r="I402">
        <v>2674</v>
      </c>
    </row>
    <row r="403" spans="1:9" x14ac:dyDescent="0.3">
      <c r="A403" t="s">
        <v>562</v>
      </c>
      <c r="B403" t="s">
        <v>563</v>
      </c>
      <c r="C403">
        <f t="shared" si="6"/>
        <v>45748</v>
      </c>
      <c r="D403">
        <v>6100</v>
      </c>
      <c r="E403" t="str">
        <f>INDEX(Accounts!$B$2:$B$9,MATCH(D403,Accounts!$A$2:$A$9,0))</f>
        <v>Marketing Expense</v>
      </c>
      <c r="F403" t="str">
        <f>INDEX(Accounts!$C$2:$C$9,MATCH(D403,Accounts!$A$2:$A$9,0))</f>
        <v>Operating Expense</v>
      </c>
      <c r="G403" t="s">
        <v>43</v>
      </c>
      <c r="H403" t="s">
        <v>46</v>
      </c>
      <c r="I403">
        <v>13613</v>
      </c>
    </row>
    <row r="404" spans="1:9" x14ac:dyDescent="0.3">
      <c r="A404" t="s">
        <v>564</v>
      </c>
      <c r="B404" t="s">
        <v>563</v>
      </c>
      <c r="C404">
        <f t="shared" si="6"/>
        <v>45748</v>
      </c>
      <c r="D404">
        <v>4100</v>
      </c>
      <c r="E404" t="str">
        <f>INDEX(Accounts!$B$2:$B$9,MATCH(D404,Accounts!$A$2:$A$9,0))</f>
        <v>Sales Returns &amp; Discounts</v>
      </c>
      <c r="F404" t="str">
        <f>INDEX(Accounts!$C$2:$C$9,MATCH(D404,Accounts!$A$2:$A$9,0))</f>
        <v>Contra Revenue</v>
      </c>
      <c r="G404" t="s">
        <v>43</v>
      </c>
      <c r="H404" t="s">
        <v>46</v>
      </c>
      <c r="I404">
        <v>11501</v>
      </c>
    </row>
    <row r="405" spans="1:9" x14ac:dyDescent="0.3">
      <c r="A405" t="s">
        <v>565</v>
      </c>
      <c r="B405" t="s">
        <v>563</v>
      </c>
      <c r="C405">
        <f t="shared" si="6"/>
        <v>45748</v>
      </c>
      <c r="D405">
        <v>4000</v>
      </c>
      <c r="E405" t="str">
        <f>INDEX(Accounts!$B$2:$B$9,MATCH(D405,Accounts!$A$2:$A$9,0))</f>
        <v>Product Sales</v>
      </c>
      <c r="F405" t="str">
        <f>INDEX(Accounts!$C$2:$C$9,MATCH(D405,Accounts!$A$2:$A$9,0))</f>
        <v>Revenue</v>
      </c>
      <c r="G405" t="s">
        <v>47</v>
      </c>
      <c r="H405" t="s">
        <v>46</v>
      </c>
      <c r="I405">
        <v>100935</v>
      </c>
    </row>
    <row r="406" spans="1:9" x14ac:dyDescent="0.3">
      <c r="A406" t="s">
        <v>566</v>
      </c>
      <c r="B406" t="s">
        <v>563</v>
      </c>
      <c r="C406">
        <f t="shared" si="6"/>
        <v>45748</v>
      </c>
      <c r="D406">
        <v>6400</v>
      </c>
      <c r="E406" t="str">
        <f>INDEX(Accounts!$B$2:$B$9,MATCH(D406,Accounts!$A$2:$A$9,0))</f>
        <v>Software &amp; Admin</v>
      </c>
      <c r="F406" t="str">
        <f>INDEX(Accounts!$C$2:$C$9,MATCH(D406,Accounts!$A$2:$A$9,0))</f>
        <v>Operating Expense</v>
      </c>
      <c r="G406" t="s">
        <v>43</v>
      </c>
      <c r="H406" t="s">
        <v>46</v>
      </c>
      <c r="I406">
        <v>7653</v>
      </c>
    </row>
    <row r="407" spans="1:9" x14ac:dyDescent="0.3">
      <c r="A407" t="s">
        <v>567</v>
      </c>
      <c r="B407" t="s">
        <v>568</v>
      </c>
      <c r="C407">
        <f t="shared" si="6"/>
        <v>45748</v>
      </c>
      <c r="D407">
        <v>6100</v>
      </c>
      <c r="E407" t="str">
        <f>INDEX(Accounts!$B$2:$B$9,MATCH(D407,Accounts!$A$2:$A$9,0))</f>
        <v>Marketing Expense</v>
      </c>
      <c r="F407" t="str">
        <f>INDEX(Accounts!$C$2:$C$9,MATCH(D407,Accounts!$A$2:$A$9,0))</f>
        <v>Operating Expense</v>
      </c>
      <c r="G407" t="s">
        <v>48</v>
      </c>
      <c r="H407" t="s">
        <v>46</v>
      </c>
      <c r="I407">
        <v>16949</v>
      </c>
    </row>
    <row r="408" spans="1:9" x14ac:dyDescent="0.3">
      <c r="A408" t="s">
        <v>569</v>
      </c>
      <c r="B408" t="s">
        <v>568</v>
      </c>
      <c r="C408">
        <f t="shared" si="6"/>
        <v>45748</v>
      </c>
      <c r="D408">
        <v>5000</v>
      </c>
      <c r="E408" t="str">
        <f>INDEX(Accounts!$B$2:$B$9,MATCH(D408,Accounts!$A$2:$A$9,0))</f>
        <v>Cost of Goods Sold</v>
      </c>
      <c r="F408" t="str">
        <f>INDEX(Accounts!$C$2:$C$9,MATCH(D408,Accounts!$A$2:$A$9,0))</f>
        <v>COGS</v>
      </c>
      <c r="G408" t="s">
        <v>41</v>
      </c>
      <c r="H408" t="s">
        <v>46</v>
      </c>
      <c r="I408">
        <v>49929</v>
      </c>
    </row>
    <row r="409" spans="1:9" x14ac:dyDescent="0.3">
      <c r="A409" t="s">
        <v>570</v>
      </c>
      <c r="B409" t="s">
        <v>571</v>
      </c>
      <c r="C409">
        <f t="shared" si="6"/>
        <v>45748</v>
      </c>
      <c r="D409">
        <v>5000</v>
      </c>
      <c r="E409" t="str">
        <f>INDEX(Accounts!$B$2:$B$9,MATCH(D409,Accounts!$A$2:$A$9,0))</f>
        <v>Cost of Goods Sold</v>
      </c>
      <c r="F409" t="str">
        <f>INDEX(Accounts!$C$2:$C$9,MATCH(D409,Accounts!$A$2:$A$9,0))</f>
        <v>COGS</v>
      </c>
      <c r="G409" t="s">
        <v>41</v>
      </c>
      <c r="H409" t="s">
        <v>42</v>
      </c>
      <c r="I409">
        <v>12135</v>
      </c>
    </row>
    <row r="410" spans="1:9" x14ac:dyDescent="0.3">
      <c r="A410" t="s">
        <v>572</v>
      </c>
      <c r="B410" t="s">
        <v>571</v>
      </c>
      <c r="C410">
        <f t="shared" si="6"/>
        <v>45748</v>
      </c>
      <c r="D410">
        <v>6100</v>
      </c>
      <c r="E410" t="str">
        <f>INDEX(Accounts!$B$2:$B$9,MATCH(D410,Accounts!$A$2:$A$9,0))</f>
        <v>Marketing Expense</v>
      </c>
      <c r="F410" t="str">
        <f>INDEX(Accounts!$C$2:$C$9,MATCH(D410,Accounts!$A$2:$A$9,0))</f>
        <v>Operating Expense</v>
      </c>
      <c r="G410" t="s">
        <v>43</v>
      </c>
      <c r="H410" t="s">
        <v>44</v>
      </c>
      <c r="I410">
        <v>5302</v>
      </c>
    </row>
    <row r="411" spans="1:9" x14ac:dyDescent="0.3">
      <c r="A411" t="s">
        <v>573</v>
      </c>
      <c r="B411" t="s">
        <v>571</v>
      </c>
      <c r="C411">
        <f t="shared" si="6"/>
        <v>45748</v>
      </c>
      <c r="D411">
        <v>5000</v>
      </c>
      <c r="E411" t="str">
        <f>INDEX(Accounts!$B$2:$B$9,MATCH(D411,Accounts!$A$2:$A$9,0))</f>
        <v>Cost of Goods Sold</v>
      </c>
      <c r="F411" t="str">
        <f>INDEX(Accounts!$C$2:$C$9,MATCH(D411,Accounts!$A$2:$A$9,0))</f>
        <v>COGS</v>
      </c>
      <c r="G411" t="s">
        <v>48</v>
      </c>
      <c r="H411" t="s">
        <v>46</v>
      </c>
      <c r="I411">
        <v>25479</v>
      </c>
    </row>
    <row r="412" spans="1:9" x14ac:dyDescent="0.3">
      <c r="A412" t="s">
        <v>574</v>
      </c>
      <c r="B412" t="s">
        <v>571</v>
      </c>
      <c r="C412">
        <f t="shared" si="6"/>
        <v>45748</v>
      </c>
      <c r="D412">
        <v>5000</v>
      </c>
      <c r="E412" t="str">
        <f>INDEX(Accounts!$B$2:$B$9,MATCH(D412,Accounts!$A$2:$A$9,0))</f>
        <v>Cost of Goods Sold</v>
      </c>
      <c r="F412" t="str">
        <f>INDEX(Accounts!$C$2:$C$9,MATCH(D412,Accounts!$A$2:$A$9,0))</f>
        <v>COGS</v>
      </c>
      <c r="G412" t="s">
        <v>43</v>
      </c>
      <c r="H412" t="s">
        <v>46</v>
      </c>
      <c r="I412">
        <v>65018</v>
      </c>
    </row>
    <row r="413" spans="1:9" x14ac:dyDescent="0.3">
      <c r="A413" t="s">
        <v>575</v>
      </c>
      <c r="B413" t="s">
        <v>571</v>
      </c>
      <c r="C413">
        <f t="shared" si="6"/>
        <v>45748</v>
      </c>
      <c r="D413">
        <v>6300</v>
      </c>
      <c r="E413" t="str">
        <f>INDEX(Accounts!$B$2:$B$9,MATCH(D413,Accounts!$A$2:$A$9,0))</f>
        <v>Logistics Expense</v>
      </c>
      <c r="F413" t="str">
        <f>INDEX(Accounts!$C$2:$C$9,MATCH(D413,Accounts!$A$2:$A$9,0))</f>
        <v>Operating Expense</v>
      </c>
      <c r="G413" t="s">
        <v>45</v>
      </c>
      <c r="H413" t="s">
        <v>44</v>
      </c>
      <c r="I413">
        <v>9835</v>
      </c>
    </row>
    <row r="414" spans="1:9" x14ac:dyDescent="0.3">
      <c r="A414" t="s">
        <v>576</v>
      </c>
      <c r="B414" t="s">
        <v>577</v>
      </c>
      <c r="C414">
        <f t="shared" si="6"/>
        <v>45748</v>
      </c>
      <c r="D414">
        <v>5000</v>
      </c>
      <c r="E414" t="str">
        <f>INDEX(Accounts!$B$2:$B$9,MATCH(D414,Accounts!$A$2:$A$9,0))</f>
        <v>Cost of Goods Sold</v>
      </c>
      <c r="F414" t="str">
        <f>INDEX(Accounts!$C$2:$C$9,MATCH(D414,Accounts!$A$2:$A$9,0))</f>
        <v>COGS</v>
      </c>
      <c r="G414" t="s">
        <v>43</v>
      </c>
      <c r="H414" t="s">
        <v>46</v>
      </c>
      <c r="I414">
        <v>55158</v>
      </c>
    </row>
    <row r="415" spans="1:9" x14ac:dyDescent="0.3">
      <c r="A415" t="s">
        <v>578</v>
      </c>
      <c r="B415" t="s">
        <v>577</v>
      </c>
      <c r="C415">
        <f t="shared" si="6"/>
        <v>45748</v>
      </c>
      <c r="D415">
        <v>6000</v>
      </c>
      <c r="E415" t="str">
        <f>INDEX(Accounts!$B$2:$B$9,MATCH(D415,Accounts!$A$2:$A$9,0))</f>
        <v>Salaries &amp; Wages</v>
      </c>
      <c r="F415" t="str">
        <f>INDEX(Accounts!$C$2:$C$9,MATCH(D415,Accounts!$A$2:$A$9,0))</f>
        <v>Operating Expense</v>
      </c>
      <c r="G415" t="s">
        <v>43</v>
      </c>
      <c r="H415" t="s">
        <v>44</v>
      </c>
      <c r="I415">
        <v>12786</v>
      </c>
    </row>
    <row r="416" spans="1:9" x14ac:dyDescent="0.3">
      <c r="A416" t="s">
        <v>579</v>
      </c>
      <c r="B416" t="s">
        <v>577</v>
      </c>
      <c r="C416">
        <f t="shared" si="6"/>
        <v>45748</v>
      </c>
      <c r="D416">
        <v>6200</v>
      </c>
      <c r="E416" t="str">
        <f>INDEX(Accounts!$B$2:$B$9,MATCH(D416,Accounts!$A$2:$A$9,0))</f>
        <v>Rent &amp; Utilities</v>
      </c>
      <c r="F416" t="str">
        <f>INDEX(Accounts!$C$2:$C$9,MATCH(D416,Accounts!$A$2:$A$9,0))</f>
        <v>Operating Expense</v>
      </c>
      <c r="G416" t="s">
        <v>43</v>
      </c>
      <c r="H416" t="s">
        <v>46</v>
      </c>
      <c r="I416">
        <v>11351</v>
      </c>
    </row>
    <row r="417" spans="1:9" x14ac:dyDescent="0.3">
      <c r="A417" t="s">
        <v>580</v>
      </c>
      <c r="B417" t="s">
        <v>581</v>
      </c>
      <c r="C417">
        <f t="shared" si="6"/>
        <v>45748</v>
      </c>
      <c r="D417">
        <v>5000</v>
      </c>
      <c r="E417" t="str">
        <f>INDEX(Accounts!$B$2:$B$9,MATCH(D417,Accounts!$A$2:$A$9,0))</f>
        <v>Cost of Goods Sold</v>
      </c>
      <c r="F417" t="str">
        <f>INDEX(Accounts!$C$2:$C$9,MATCH(D417,Accounts!$A$2:$A$9,0))</f>
        <v>COGS</v>
      </c>
      <c r="G417" t="s">
        <v>41</v>
      </c>
      <c r="H417" t="s">
        <v>42</v>
      </c>
      <c r="I417">
        <v>18154</v>
      </c>
    </row>
    <row r="418" spans="1:9" x14ac:dyDescent="0.3">
      <c r="A418" t="s">
        <v>582</v>
      </c>
      <c r="B418" t="s">
        <v>581</v>
      </c>
      <c r="C418">
        <f t="shared" si="6"/>
        <v>45748</v>
      </c>
      <c r="D418">
        <v>6100</v>
      </c>
      <c r="E418" t="str">
        <f>INDEX(Accounts!$B$2:$B$9,MATCH(D418,Accounts!$A$2:$A$9,0))</f>
        <v>Marketing Expense</v>
      </c>
      <c r="F418" t="str">
        <f>INDEX(Accounts!$C$2:$C$9,MATCH(D418,Accounts!$A$2:$A$9,0))</f>
        <v>Operating Expense</v>
      </c>
      <c r="G418" t="s">
        <v>43</v>
      </c>
      <c r="H418" t="s">
        <v>42</v>
      </c>
      <c r="I418">
        <v>16841</v>
      </c>
    </row>
    <row r="419" spans="1:9" x14ac:dyDescent="0.3">
      <c r="A419" t="s">
        <v>583</v>
      </c>
      <c r="B419" t="s">
        <v>581</v>
      </c>
      <c r="C419">
        <f t="shared" si="6"/>
        <v>45748</v>
      </c>
      <c r="D419">
        <v>5000</v>
      </c>
      <c r="E419" t="str">
        <f>INDEX(Accounts!$B$2:$B$9,MATCH(D419,Accounts!$A$2:$A$9,0))</f>
        <v>Cost of Goods Sold</v>
      </c>
      <c r="F419" t="str">
        <f>INDEX(Accounts!$C$2:$C$9,MATCH(D419,Accounts!$A$2:$A$9,0))</f>
        <v>COGS</v>
      </c>
      <c r="G419" t="s">
        <v>41</v>
      </c>
      <c r="H419" t="s">
        <v>46</v>
      </c>
      <c r="I419">
        <v>30187</v>
      </c>
    </row>
    <row r="420" spans="1:9" x14ac:dyDescent="0.3">
      <c r="A420" t="s">
        <v>584</v>
      </c>
      <c r="B420" t="s">
        <v>581</v>
      </c>
      <c r="C420">
        <f t="shared" si="6"/>
        <v>45748</v>
      </c>
      <c r="D420">
        <v>4000</v>
      </c>
      <c r="E420" t="str">
        <f>INDEX(Accounts!$B$2:$B$9,MATCH(D420,Accounts!$A$2:$A$9,0))</f>
        <v>Product Sales</v>
      </c>
      <c r="F420" t="str">
        <f>INDEX(Accounts!$C$2:$C$9,MATCH(D420,Accounts!$A$2:$A$9,0))</f>
        <v>Revenue</v>
      </c>
      <c r="G420" t="s">
        <v>45</v>
      </c>
      <c r="H420" t="s">
        <v>44</v>
      </c>
      <c r="I420">
        <v>57630</v>
      </c>
    </row>
    <row r="421" spans="1:9" x14ac:dyDescent="0.3">
      <c r="A421" t="s">
        <v>585</v>
      </c>
      <c r="B421" t="s">
        <v>581</v>
      </c>
      <c r="C421">
        <f t="shared" si="6"/>
        <v>45748</v>
      </c>
      <c r="D421">
        <v>4000</v>
      </c>
      <c r="E421" t="str">
        <f>INDEX(Accounts!$B$2:$B$9,MATCH(D421,Accounts!$A$2:$A$9,0))</f>
        <v>Product Sales</v>
      </c>
      <c r="F421" t="str">
        <f>INDEX(Accounts!$C$2:$C$9,MATCH(D421,Accounts!$A$2:$A$9,0))</f>
        <v>Revenue</v>
      </c>
      <c r="G421" t="s">
        <v>45</v>
      </c>
      <c r="H421" t="s">
        <v>44</v>
      </c>
      <c r="I421">
        <v>156092</v>
      </c>
    </row>
    <row r="422" spans="1:9" x14ac:dyDescent="0.3">
      <c r="A422" t="s">
        <v>586</v>
      </c>
      <c r="B422" t="s">
        <v>587</v>
      </c>
      <c r="C422">
        <f t="shared" si="6"/>
        <v>45748</v>
      </c>
      <c r="D422">
        <v>4000</v>
      </c>
      <c r="E422" t="str">
        <f>INDEX(Accounts!$B$2:$B$9,MATCH(D422,Accounts!$A$2:$A$9,0))</f>
        <v>Product Sales</v>
      </c>
      <c r="F422" t="str">
        <f>INDEX(Accounts!$C$2:$C$9,MATCH(D422,Accounts!$A$2:$A$9,0))</f>
        <v>Revenue</v>
      </c>
      <c r="G422" t="s">
        <v>41</v>
      </c>
      <c r="H422" t="s">
        <v>44</v>
      </c>
      <c r="I422">
        <v>61383</v>
      </c>
    </row>
    <row r="423" spans="1:9" x14ac:dyDescent="0.3">
      <c r="A423" t="s">
        <v>588</v>
      </c>
      <c r="B423" t="s">
        <v>587</v>
      </c>
      <c r="C423">
        <f t="shared" si="6"/>
        <v>45748</v>
      </c>
      <c r="D423">
        <v>5000</v>
      </c>
      <c r="E423" t="str">
        <f>INDEX(Accounts!$B$2:$B$9,MATCH(D423,Accounts!$A$2:$A$9,0))</f>
        <v>Cost of Goods Sold</v>
      </c>
      <c r="F423" t="str">
        <f>INDEX(Accounts!$C$2:$C$9,MATCH(D423,Accounts!$A$2:$A$9,0))</f>
        <v>COGS</v>
      </c>
      <c r="G423" t="s">
        <v>47</v>
      </c>
      <c r="H423" t="s">
        <v>46</v>
      </c>
      <c r="I423">
        <v>36818</v>
      </c>
    </row>
    <row r="424" spans="1:9" x14ac:dyDescent="0.3">
      <c r="A424" t="s">
        <v>589</v>
      </c>
      <c r="B424" t="s">
        <v>587</v>
      </c>
      <c r="C424">
        <f t="shared" si="6"/>
        <v>45748</v>
      </c>
      <c r="D424">
        <v>4000</v>
      </c>
      <c r="E424" t="str">
        <f>INDEX(Accounts!$B$2:$B$9,MATCH(D424,Accounts!$A$2:$A$9,0))</f>
        <v>Product Sales</v>
      </c>
      <c r="F424" t="str">
        <f>INDEX(Accounts!$C$2:$C$9,MATCH(D424,Accounts!$A$2:$A$9,0))</f>
        <v>Revenue</v>
      </c>
      <c r="G424" t="s">
        <v>43</v>
      </c>
      <c r="H424" t="s">
        <v>44</v>
      </c>
      <c r="I424">
        <v>72305</v>
      </c>
    </row>
    <row r="425" spans="1:9" x14ac:dyDescent="0.3">
      <c r="A425" t="s">
        <v>590</v>
      </c>
      <c r="B425" t="s">
        <v>587</v>
      </c>
      <c r="C425">
        <f t="shared" si="6"/>
        <v>45748</v>
      </c>
      <c r="D425">
        <v>6400</v>
      </c>
      <c r="E425" t="str">
        <f>INDEX(Accounts!$B$2:$B$9,MATCH(D425,Accounts!$A$2:$A$9,0))</f>
        <v>Software &amp; Admin</v>
      </c>
      <c r="F425" t="str">
        <f>INDEX(Accounts!$C$2:$C$9,MATCH(D425,Accounts!$A$2:$A$9,0))</f>
        <v>Operating Expense</v>
      </c>
      <c r="G425" t="s">
        <v>41</v>
      </c>
      <c r="H425" t="s">
        <v>46</v>
      </c>
      <c r="I425">
        <v>7655</v>
      </c>
    </row>
    <row r="426" spans="1:9" x14ac:dyDescent="0.3">
      <c r="A426" t="s">
        <v>591</v>
      </c>
      <c r="B426" t="s">
        <v>587</v>
      </c>
      <c r="C426">
        <f t="shared" si="6"/>
        <v>45748</v>
      </c>
      <c r="D426">
        <v>5000</v>
      </c>
      <c r="E426" t="str">
        <f>INDEX(Accounts!$B$2:$B$9,MATCH(D426,Accounts!$A$2:$A$9,0))</f>
        <v>Cost of Goods Sold</v>
      </c>
      <c r="F426" t="str">
        <f>INDEX(Accounts!$C$2:$C$9,MATCH(D426,Accounts!$A$2:$A$9,0))</f>
        <v>COGS</v>
      </c>
      <c r="G426" t="s">
        <v>43</v>
      </c>
      <c r="H426" t="s">
        <v>46</v>
      </c>
      <c r="I426">
        <v>32176</v>
      </c>
    </row>
    <row r="427" spans="1:9" x14ac:dyDescent="0.3">
      <c r="A427" t="s">
        <v>592</v>
      </c>
      <c r="B427" t="s">
        <v>593</v>
      </c>
      <c r="C427">
        <f t="shared" si="6"/>
        <v>45748</v>
      </c>
      <c r="D427">
        <v>6100</v>
      </c>
      <c r="E427" t="str">
        <f>INDEX(Accounts!$B$2:$B$9,MATCH(D427,Accounts!$A$2:$A$9,0))</f>
        <v>Marketing Expense</v>
      </c>
      <c r="F427" t="str">
        <f>INDEX(Accounts!$C$2:$C$9,MATCH(D427,Accounts!$A$2:$A$9,0))</f>
        <v>Operating Expense</v>
      </c>
      <c r="G427" t="s">
        <v>43</v>
      </c>
      <c r="H427" t="s">
        <v>46</v>
      </c>
      <c r="I427">
        <v>7517</v>
      </c>
    </row>
    <row r="428" spans="1:9" x14ac:dyDescent="0.3">
      <c r="A428" t="s">
        <v>594</v>
      </c>
      <c r="B428" t="s">
        <v>593</v>
      </c>
      <c r="C428">
        <f t="shared" si="6"/>
        <v>45748</v>
      </c>
      <c r="D428">
        <v>4000</v>
      </c>
      <c r="E428" t="str">
        <f>INDEX(Accounts!$B$2:$B$9,MATCH(D428,Accounts!$A$2:$A$9,0))</f>
        <v>Product Sales</v>
      </c>
      <c r="F428" t="str">
        <f>INDEX(Accounts!$C$2:$C$9,MATCH(D428,Accounts!$A$2:$A$9,0))</f>
        <v>Revenue</v>
      </c>
      <c r="G428" t="s">
        <v>45</v>
      </c>
      <c r="H428" t="s">
        <v>46</v>
      </c>
      <c r="I428">
        <v>140499</v>
      </c>
    </row>
    <row r="429" spans="1:9" x14ac:dyDescent="0.3">
      <c r="A429" t="s">
        <v>595</v>
      </c>
      <c r="B429" t="s">
        <v>593</v>
      </c>
      <c r="C429">
        <f t="shared" si="6"/>
        <v>45748</v>
      </c>
      <c r="D429">
        <v>5000</v>
      </c>
      <c r="E429" t="str">
        <f>INDEX(Accounts!$B$2:$B$9,MATCH(D429,Accounts!$A$2:$A$9,0))</f>
        <v>Cost of Goods Sold</v>
      </c>
      <c r="F429" t="str">
        <f>INDEX(Accounts!$C$2:$C$9,MATCH(D429,Accounts!$A$2:$A$9,0))</f>
        <v>COGS</v>
      </c>
      <c r="G429" t="s">
        <v>48</v>
      </c>
      <c r="H429" t="s">
        <v>42</v>
      </c>
      <c r="I429">
        <v>61523</v>
      </c>
    </row>
    <row r="430" spans="1:9" x14ac:dyDescent="0.3">
      <c r="A430" t="s">
        <v>596</v>
      </c>
      <c r="B430" t="s">
        <v>593</v>
      </c>
      <c r="C430">
        <f t="shared" si="6"/>
        <v>45748</v>
      </c>
      <c r="D430">
        <v>6000</v>
      </c>
      <c r="E430" t="str">
        <f>INDEX(Accounts!$B$2:$B$9,MATCH(D430,Accounts!$A$2:$A$9,0))</f>
        <v>Salaries &amp; Wages</v>
      </c>
      <c r="F430" t="str">
        <f>INDEX(Accounts!$C$2:$C$9,MATCH(D430,Accounts!$A$2:$A$9,0))</f>
        <v>Operating Expense</v>
      </c>
      <c r="G430" t="s">
        <v>47</v>
      </c>
      <c r="H430" t="s">
        <v>46</v>
      </c>
      <c r="I430">
        <v>20224</v>
      </c>
    </row>
    <row r="431" spans="1:9" x14ac:dyDescent="0.3">
      <c r="A431" t="s">
        <v>597</v>
      </c>
      <c r="B431" t="s">
        <v>593</v>
      </c>
      <c r="C431">
        <f t="shared" si="6"/>
        <v>45748</v>
      </c>
      <c r="D431">
        <v>6300</v>
      </c>
      <c r="E431" t="str">
        <f>INDEX(Accounts!$B$2:$B$9,MATCH(D431,Accounts!$A$2:$A$9,0))</f>
        <v>Logistics Expense</v>
      </c>
      <c r="F431" t="str">
        <f>INDEX(Accounts!$C$2:$C$9,MATCH(D431,Accounts!$A$2:$A$9,0))</f>
        <v>Operating Expense</v>
      </c>
      <c r="G431" t="s">
        <v>41</v>
      </c>
      <c r="H431" t="s">
        <v>46</v>
      </c>
      <c r="I431">
        <v>10949</v>
      </c>
    </row>
    <row r="432" spans="1:9" x14ac:dyDescent="0.3">
      <c r="A432" t="s">
        <v>598</v>
      </c>
      <c r="B432" t="s">
        <v>599</v>
      </c>
      <c r="C432">
        <f t="shared" si="6"/>
        <v>45748</v>
      </c>
      <c r="D432">
        <v>4000</v>
      </c>
      <c r="E432" t="str">
        <f>INDEX(Accounts!$B$2:$B$9,MATCH(D432,Accounts!$A$2:$A$9,0))</f>
        <v>Product Sales</v>
      </c>
      <c r="F432" t="str">
        <f>INDEX(Accounts!$C$2:$C$9,MATCH(D432,Accounts!$A$2:$A$9,0))</f>
        <v>Revenue</v>
      </c>
      <c r="G432" t="s">
        <v>45</v>
      </c>
      <c r="H432" t="s">
        <v>44</v>
      </c>
      <c r="I432">
        <v>170369</v>
      </c>
    </row>
    <row r="433" spans="1:9" x14ac:dyDescent="0.3">
      <c r="A433" t="s">
        <v>600</v>
      </c>
      <c r="B433" t="s">
        <v>599</v>
      </c>
      <c r="C433">
        <f t="shared" si="6"/>
        <v>45748</v>
      </c>
      <c r="D433">
        <v>6400</v>
      </c>
      <c r="E433" t="str">
        <f>INDEX(Accounts!$B$2:$B$9,MATCH(D433,Accounts!$A$2:$A$9,0))</f>
        <v>Software &amp; Admin</v>
      </c>
      <c r="F433" t="str">
        <f>INDEX(Accounts!$C$2:$C$9,MATCH(D433,Accounts!$A$2:$A$9,0))</f>
        <v>Operating Expense</v>
      </c>
      <c r="G433" t="s">
        <v>45</v>
      </c>
      <c r="H433" t="s">
        <v>46</v>
      </c>
      <c r="I433">
        <v>2063</v>
      </c>
    </row>
    <row r="434" spans="1:9" x14ac:dyDescent="0.3">
      <c r="A434" t="s">
        <v>601</v>
      </c>
      <c r="B434" t="s">
        <v>602</v>
      </c>
      <c r="C434">
        <f t="shared" si="6"/>
        <v>45748</v>
      </c>
      <c r="D434">
        <v>6100</v>
      </c>
      <c r="E434" t="str">
        <f>INDEX(Accounts!$B$2:$B$9,MATCH(D434,Accounts!$A$2:$A$9,0))</f>
        <v>Marketing Expense</v>
      </c>
      <c r="F434" t="str">
        <f>INDEX(Accounts!$C$2:$C$9,MATCH(D434,Accounts!$A$2:$A$9,0))</f>
        <v>Operating Expense</v>
      </c>
      <c r="G434" t="s">
        <v>41</v>
      </c>
      <c r="H434" t="s">
        <v>44</v>
      </c>
      <c r="I434">
        <v>4527</v>
      </c>
    </row>
    <row r="435" spans="1:9" x14ac:dyDescent="0.3">
      <c r="A435" t="s">
        <v>603</v>
      </c>
      <c r="B435" t="s">
        <v>602</v>
      </c>
      <c r="C435">
        <f t="shared" si="6"/>
        <v>45748</v>
      </c>
      <c r="D435">
        <v>6400</v>
      </c>
      <c r="E435" t="str">
        <f>INDEX(Accounts!$B$2:$B$9,MATCH(D435,Accounts!$A$2:$A$9,0))</f>
        <v>Software &amp; Admin</v>
      </c>
      <c r="F435" t="str">
        <f>INDEX(Accounts!$C$2:$C$9,MATCH(D435,Accounts!$A$2:$A$9,0))</f>
        <v>Operating Expense</v>
      </c>
      <c r="G435" t="s">
        <v>43</v>
      </c>
      <c r="H435" t="s">
        <v>42</v>
      </c>
      <c r="I435">
        <v>9129</v>
      </c>
    </row>
    <row r="436" spans="1:9" x14ac:dyDescent="0.3">
      <c r="A436" t="s">
        <v>604</v>
      </c>
      <c r="B436" t="s">
        <v>602</v>
      </c>
      <c r="C436">
        <f t="shared" si="6"/>
        <v>45748</v>
      </c>
      <c r="D436">
        <v>6100</v>
      </c>
      <c r="E436" t="str">
        <f>INDEX(Accounts!$B$2:$B$9,MATCH(D436,Accounts!$A$2:$A$9,0))</f>
        <v>Marketing Expense</v>
      </c>
      <c r="F436" t="str">
        <f>INDEX(Accounts!$C$2:$C$9,MATCH(D436,Accounts!$A$2:$A$9,0))</f>
        <v>Operating Expense</v>
      </c>
      <c r="G436" t="s">
        <v>48</v>
      </c>
      <c r="H436" t="s">
        <v>46</v>
      </c>
      <c r="I436">
        <v>17852</v>
      </c>
    </row>
    <row r="437" spans="1:9" x14ac:dyDescent="0.3">
      <c r="A437" t="s">
        <v>605</v>
      </c>
      <c r="B437" t="s">
        <v>602</v>
      </c>
      <c r="C437">
        <f t="shared" si="6"/>
        <v>45748</v>
      </c>
      <c r="D437">
        <v>4000</v>
      </c>
      <c r="E437" t="str">
        <f>INDEX(Accounts!$B$2:$B$9,MATCH(D437,Accounts!$A$2:$A$9,0))</f>
        <v>Product Sales</v>
      </c>
      <c r="F437" t="str">
        <f>INDEX(Accounts!$C$2:$C$9,MATCH(D437,Accounts!$A$2:$A$9,0))</f>
        <v>Revenue</v>
      </c>
      <c r="G437" t="s">
        <v>43</v>
      </c>
      <c r="H437" t="s">
        <v>44</v>
      </c>
      <c r="I437">
        <v>120928</v>
      </c>
    </row>
    <row r="438" spans="1:9" x14ac:dyDescent="0.3">
      <c r="A438" t="s">
        <v>606</v>
      </c>
      <c r="B438" t="s">
        <v>607</v>
      </c>
      <c r="C438">
        <f t="shared" si="6"/>
        <v>45748</v>
      </c>
      <c r="D438">
        <v>4000</v>
      </c>
      <c r="E438" t="str">
        <f>INDEX(Accounts!$B$2:$B$9,MATCH(D438,Accounts!$A$2:$A$9,0))</f>
        <v>Product Sales</v>
      </c>
      <c r="F438" t="str">
        <f>INDEX(Accounts!$C$2:$C$9,MATCH(D438,Accounts!$A$2:$A$9,0))</f>
        <v>Revenue</v>
      </c>
      <c r="G438" t="s">
        <v>47</v>
      </c>
      <c r="H438" t="s">
        <v>42</v>
      </c>
      <c r="I438">
        <v>99727</v>
      </c>
    </row>
    <row r="439" spans="1:9" x14ac:dyDescent="0.3">
      <c r="A439" t="s">
        <v>608</v>
      </c>
      <c r="B439" t="s">
        <v>607</v>
      </c>
      <c r="C439">
        <f t="shared" si="6"/>
        <v>45748</v>
      </c>
      <c r="D439">
        <v>5000</v>
      </c>
      <c r="E439" t="str">
        <f>INDEX(Accounts!$B$2:$B$9,MATCH(D439,Accounts!$A$2:$A$9,0))</f>
        <v>Cost of Goods Sold</v>
      </c>
      <c r="F439" t="str">
        <f>INDEX(Accounts!$C$2:$C$9,MATCH(D439,Accounts!$A$2:$A$9,0))</f>
        <v>COGS</v>
      </c>
      <c r="G439" t="s">
        <v>48</v>
      </c>
      <c r="H439" t="s">
        <v>44</v>
      </c>
      <c r="I439">
        <v>49908</v>
      </c>
    </row>
    <row r="440" spans="1:9" x14ac:dyDescent="0.3">
      <c r="A440" t="s">
        <v>609</v>
      </c>
      <c r="B440" t="s">
        <v>607</v>
      </c>
      <c r="C440">
        <f t="shared" si="6"/>
        <v>45748</v>
      </c>
      <c r="D440">
        <v>6000</v>
      </c>
      <c r="E440" t="str">
        <f>INDEX(Accounts!$B$2:$B$9,MATCH(D440,Accounts!$A$2:$A$9,0))</f>
        <v>Salaries &amp; Wages</v>
      </c>
      <c r="F440" t="str">
        <f>INDEX(Accounts!$C$2:$C$9,MATCH(D440,Accounts!$A$2:$A$9,0))</f>
        <v>Operating Expense</v>
      </c>
      <c r="G440" t="s">
        <v>41</v>
      </c>
      <c r="H440" t="s">
        <v>44</v>
      </c>
      <c r="I440">
        <v>28069</v>
      </c>
    </row>
    <row r="441" spans="1:9" x14ac:dyDescent="0.3">
      <c r="A441" t="s">
        <v>610</v>
      </c>
      <c r="B441" t="s">
        <v>607</v>
      </c>
      <c r="C441">
        <f t="shared" si="6"/>
        <v>45748</v>
      </c>
      <c r="D441">
        <v>6300</v>
      </c>
      <c r="E441" t="str">
        <f>INDEX(Accounts!$B$2:$B$9,MATCH(D441,Accounts!$A$2:$A$9,0))</f>
        <v>Logistics Expense</v>
      </c>
      <c r="F441" t="str">
        <f>INDEX(Accounts!$C$2:$C$9,MATCH(D441,Accounts!$A$2:$A$9,0))</f>
        <v>Operating Expense</v>
      </c>
      <c r="G441" t="s">
        <v>47</v>
      </c>
      <c r="H441" t="s">
        <v>46</v>
      </c>
      <c r="I441">
        <v>4007</v>
      </c>
    </row>
    <row r="442" spans="1:9" x14ac:dyDescent="0.3">
      <c r="A442" t="s">
        <v>611</v>
      </c>
      <c r="B442" t="s">
        <v>612</v>
      </c>
      <c r="C442">
        <f t="shared" si="6"/>
        <v>45778</v>
      </c>
      <c r="D442">
        <v>5000</v>
      </c>
      <c r="E442" t="str">
        <f>INDEX(Accounts!$B$2:$B$9,MATCH(D442,Accounts!$A$2:$A$9,0))</f>
        <v>Cost of Goods Sold</v>
      </c>
      <c r="F442" t="str">
        <f>INDEX(Accounts!$C$2:$C$9,MATCH(D442,Accounts!$A$2:$A$9,0))</f>
        <v>COGS</v>
      </c>
      <c r="G442" t="s">
        <v>45</v>
      </c>
      <c r="H442" t="s">
        <v>44</v>
      </c>
      <c r="I442">
        <v>46253</v>
      </c>
    </row>
    <row r="443" spans="1:9" x14ac:dyDescent="0.3">
      <c r="A443" t="s">
        <v>613</v>
      </c>
      <c r="B443" t="s">
        <v>612</v>
      </c>
      <c r="C443">
        <f t="shared" si="6"/>
        <v>45778</v>
      </c>
      <c r="D443">
        <v>6000</v>
      </c>
      <c r="E443" t="str">
        <f>INDEX(Accounts!$B$2:$B$9,MATCH(D443,Accounts!$A$2:$A$9,0))</f>
        <v>Salaries &amp; Wages</v>
      </c>
      <c r="F443" t="str">
        <f>INDEX(Accounts!$C$2:$C$9,MATCH(D443,Accounts!$A$2:$A$9,0))</f>
        <v>Operating Expense</v>
      </c>
      <c r="G443" t="s">
        <v>41</v>
      </c>
      <c r="H443" t="s">
        <v>46</v>
      </c>
      <c r="I443">
        <v>30654</v>
      </c>
    </row>
    <row r="444" spans="1:9" x14ac:dyDescent="0.3">
      <c r="A444" t="s">
        <v>614</v>
      </c>
      <c r="B444" t="s">
        <v>612</v>
      </c>
      <c r="C444">
        <f t="shared" si="6"/>
        <v>45778</v>
      </c>
      <c r="D444">
        <v>6100</v>
      </c>
      <c r="E444" t="str">
        <f>INDEX(Accounts!$B$2:$B$9,MATCH(D444,Accounts!$A$2:$A$9,0))</f>
        <v>Marketing Expense</v>
      </c>
      <c r="F444" t="str">
        <f>INDEX(Accounts!$C$2:$C$9,MATCH(D444,Accounts!$A$2:$A$9,0))</f>
        <v>Operating Expense</v>
      </c>
      <c r="G444" t="s">
        <v>47</v>
      </c>
      <c r="H444" t="s">
        <v>46</v>
      </c>
      <c r="I444">
        <v>13049</v>
      </c>
    </row>
    <row r="445" spans="1:9" x14ac:dyDescent="0.3">
      <c r="A445" t="s">
        <v>615</v>
      </c>
      <c r="B445" t="s">
        <v>612</v>
      </c>
      <c r="C445">
        <f t="shared" si="6"/>
        <v>45778</v>
      </c>
      <c r="D445">
        <v>4000</v>
      </c>
      <c r="E445" t="str">
        <f>INDEX(Accounts!$B$2:$B$9,MATCH(D445,Accounts!$A$2:$A$9,0))</f>
        <v>Product Sales</v>
      </c>
      <c r="F445" t="str">
        <f>INDEX(Accounts!$C$2:$C$9,MATCH(D445,Accounts!$A$2:$A$9,0))</f>
        <v>Revenue</v>
      </c>
      <c r="G445" t="s">
        <v>41</v>
      </c>
      <c r="H445" t="s">
        <v>44</v>
      </c>
      <c r="I445">
        <v>111409</v>
      </c>
    </row>
    <row r="446" spans="1:9" x14ac:dyDescent="0.3">
      <c r="A446" t="s">
        <v>616</v>
      </c>
      <c r="B446" t="s">
        <v>612</v>
      </c>
      <c r="C446">
        <f t="shared" si="6"/>
        <v>45778</v>
      </c>
      <c r="D446">
        <v>4000</v>
      </c>
      <c r="E446" t="str">
        <f>INDEX(Accounts!$B$2:$B$9,MATCH(D446,Accounts!$A$2:$A$9,0))</f>
        <v>Product Sales</v>
      </c>
      <c r="F446" t="str">
        <f>INDEX(Accounts!$C$2:$C$9,MATCH(D446,Accounts!$A$2:$A$9,0))</f>
        <v>Revenue</v>
      </c>
      <c r="G446" t="s">
        <v>48</v>
      </c>
      <c r="H446" t="s">
        <v>46</v>
      </c>
      <c r="I446">
        <v>134465</v>
      </c>
    </row>
    <row r="447" spans="1:9" x14ac:dyDescent="0.3">
      <c r="A447" t="s">
        <v>617</v>
      </c>
      <c r="B447" t="s">
        <v>612</v>
      </c>
      <c r="C447">
        <f t="shared" si="6"/>
        <v>45778</v>
      </c>
      <c r="D447">
        <v>4000</v>
      </c>
      <c r="E447" t="str">
        <f>INDEX(Accounts!$B$2:$B$9,MATCH(D447,Accounts!$A$2:$A$9,0))</f>
        <v>Product Sales</v>
      </c>
      <c r="F447" t="str">
        <f>INDEX(Accounts!$C$2:$C$9,MATCH(D447,Accounts!$A$2:$A$9,0))</f>
        <v>Revenue</v>
      </c>
      <c r="G447" t="s">
        <v>45</v>
      </c>
      <c r="H447" t="s">
        <v>46</v>
      </c>
      <c r="I447">
        <v>100153</v>
      </c>
    </row>
    <row r="448" spans="1:9" x14ac:dyDescent="0.3">
      <c r="A448" t="s">
        <v>618</v>
      </c>
      <c r="B448" t="s">
        <v>612</v>
      </c>
      <c r="C448">
        <f t="shared" si="6"/>
        <v>45778</v>
      </c>
      <c r="D448">
        <v>5000</v>
      </c>
      <c r="E448" t="str">
        <f>INDEX(Accounts!$B$2:$B$9,MATCH(D448,Accounts!$A$2:$A$9,0))</f>
        <v>Cost of Goods Sold</v>
      </c>
      <c r="F448" t="str">
        <f>INDEX(Accounts!$C$2:$C$9,MATCH(D448,Accounts!$A$2:$A$9,0))</f>
        <v>COGS</v>
      </c>
      <c r="G448" t="s">
        <v>45</v>
      </c>
      <c r="H448" t="s">
        <v>44</v>
      </c>
      <c r="I448">
        <v>60833</v>
      </c>
    </row>
    <row r="449" spans="1:9" x14ac:dyDescent="0.3">
      <c r="A449" t="s">
        <v>619</v>
      </c>
      <c r="B449" t="s">
        <v>620</v>
      </c>
      <c r="C449">
        <f t="shared" si="6"/>
        <v>45778</v>
      </c>
      <c r="D449">
        <v>4100</v>
      </c>
      <c r="E449" t="str">
        <f>INDEX(Accounts!$B$2:$B$9,MATCH(D449,Accounts!$A$2:$A$9,0))</f>
        <v>Sales Returns &amp; Discounts</v>
      </c>
      <c r="F449" t="str">
        <f>INDEX(Accounts!$C$2:$C$9,MATCH(D449,Accounts!$A$2:$A$9,0))</f>
        <v>Contra Revenue</v>
      </c>
      <c r="G449" t="s">
        <v>45</v>
      </c>
      <c r="H449" t="s">
        <v>44</v>
      </c>
      <c r="I449">
        <v>8247</v>
      </c>
    </row>
    <row r="450" spans="1:9" x14ac:dyDescent="0.3">
      <c r="A450" t="s">
        <v>621</v>
      </c>
      <c r="B450" t="s">
        <v>620</v>
      </c>
      <c r="C450">
        <f t="shared" ref="C450:C513" si="7">DATE(YEAR(B450),MONTH(B450),1)</f>
        <v>45778</v>
      </c>
      <c r="D450">
        <v>6300</v>
      </c>
      <c r="E450" t="str">
        <f>INDEX(Accounts!$B$2:$B$9,MATCH(D450,Accounts!$A$2:$A$9,0))</f>
        <v>Logistics Expense</v>
      </c>
      <c r="F450" t="str">
        <f>INDEX(Accounts!$C$2:$C$9,MATCH(D450,Accounts!$A$2:$A$9,0))</f>
        <v>Operating Expense</v>
      </c>
      <c r="G450" t="s">
        <v>41</v>
      </c>
      <c r="H450" t="s">
        <v>46</v>
      </c>
      <c r="I450">
        <v>5304</v>
      </c>
    </row>
    <row r="451" spans="1:9" x14ac:dyDescent="0.3">
      <c r="A451" t="s">
        <v>622</v>
      </c>
      <c r="B451" t="s">
        <v>620</v>
      </c>
      <c r="C451">
        <f t="shared" si="7"/>
        <v>45778</v>
      </c>
      <c r="D451">
        <v>6200</v>
      </c>
      <c r="E451" t="str">
        <f>INDEX(Accounts!$B$2:$B$9,MATCH(D451,Accounts!$A$2:$A$9,0))</f>
        <v>Rent &amp; Utilities</v>
      </c>
      <c r="F451" t="str">
        <f>INDEX(Accounts!$C$2:$C$9,MATCH(D451,Accounts!$A$2:$A$9,0))</f>
        <v>Operating Expense</v>
      </c>
      <c r="G451" t="s">
        <v>48</v>
      </c>
      <c r="H451" t="s">
        <v>42</v>
      </c>
      <c r="I451">
        <v>12383</v>
      </c>
    </row>
    <row r="452" spans="1:9" x14ac:dyDescent="0.3">
      <c r="A452" t="s">
        <v>623</v>
      </c>
      <c r="B452" t="s">
        <v>624</v>
      </c>
      <c r="C452">
        <f t="shared" si="7"/>
        <v>45778</v>
      </c>
      <c r="D452">
        <v>6000</v>
      </c>
      <c r="E452" t="str">
        <f>INDEX(Accounts!$B$2:$B$9,MATCH(D452,Accounts!$A$2:$A$9,0))</f>
        <v>Salaries &amp; Wages</v>
      </c>
      <c r="F452" t="str">
        <f>INDEX(Accounts!$C$2:$C$9,MATCH(D452,Accounts!$A$2:$A$9,0))</f>
        <v>Operating Expense</v>
      </c>
      <c r="G452" t="s">
        <v>45</v>
      </c>
      <c r="H452" t="s">
        <v>46</v>
      </c>
      <c r="I452">
        <v>9357</v>
      </c>
    </row>
    <row r="453" spans="1:9" x14ac:dyDescent="0.3">
      <c r="A453" t="s">
        <v>625</v>
      </c>
      <c r="B453" t="s">
        <v>624</v>
      </c>
      <c r="C453">
        <f t="shared" si="7"/>
        <v>45778</v>
      </c>
      <c r="D453">
        <v>4000</v>
      </c>
      <c r="E453" t="str">
        <f>INDEX(Accounts!$B$2:$B$9,MATCH(D453,Accounts!$A$2:$A$9,0))</f>
        <v>Product Sales</v>
      </c>
      <c r="F453" t="str">
        <f>INDEX(Accounts!$C$2:$C$9,MATCH(D453,Accounts!$A$2:$A$9,0))</f>
        <v>Revenue</v>
      </c>
      <c r="G453" t="s">
        <v>45</v>
      </c>
      <c r="H453" t="s">
        <v>46</v>
      </c>
      <c r="I453">
        <v>171499</v>
      </c>
    </row>
    <row r="454" spans="1:9" x14ac:dyDescent="0.3">
      <c r="A454" t="s">
        <v>626</v>
      </c>
      <c r="B454" t="s">
        <v>624</v>
      </c>
      <c r="C454">
        <f t="shared" si="7"/>
        <v>45778</v>
      </c>
      <c r="D454">
        <v>6100</v>
      </c>
      <c r="E454" t="str">
        <f>INDEX(Accounts!$B$2:$B$9,MATCH(D454,Accounts!$A$2:$A$9,0))</f>
        <v>Marketing Expense</v>
      </c>
      <c r="F454" t="str">
        <f>INDEX(Accounts!$C$2:$C$9,MATCH(D454,Accounts!$A$2:$A$9,0))</f>
        <v>Operating Expense</v>
      </c>
      <c r="G454" t="s">
        <v>41</v>
      </c>
      <c r="H454" t="s">
        <v>46</v>
      </c>
      <c r="I454">
        <v>9471</v>
      </c>
    </row>
    <row r="455" spans="1:9" x14ac:dyDescent="0.3">
      <c r="A455" t="s">
        <v>627</v>
      </c>
      <c r="B455" t="s">
        <v>628</v>
      </c>
      <c r="C455">
        <f t="shared" si="7"/>
        <v>45778</v>
      </c>
      <c r="D455">
        <v>4000</v>
      </c>
      <c r="E455" t="str">
        <f>INDEX(Accounts!$B$2:$B$9,MATCH(D455,Accounts!$A$2:$A$9,0))</f>
        <v>Product Sales</v>
      </c>
      <c r="F455" t="str">
        <f>INDEX(Accounts!$C$2:$C$9,MATCH(D455,Accounts!$A$2:$A$9,0))</f>
        <v>Revenue</v>
      </c>
      <c r="G455" t="s">
        <v>43</v>
      </c>
      <c r="H455" t="s">
        <v>44</v>
      </c>
      <c r="I455">
        <v>64696</v>
      </c>
    </row>
    <row r="456" spans="1:9" x14ac:dyDescent="0.3">
      <c r="A456" t="s">
        <v>629</v>
      </c>
      <c r="B456" t="s">
        <v>628</v>
      </c>
      <c r="C456">
        <f t="shared" si="7"/>
        <v>45778</v>
      </c>
      <c r="D456">
        <v>4000</v>
      </c>
      <c r="E456" t="str">
        <f>INDEX(Accounts!$B$2:$B$9,MATCH(D456,Accounts!$A$2:$A$9,0))</f>
        <v>Product Sales</v>
      </c>
      <c r="F456" t="str">
        <f>INDEX(Accounts!$C$2:$C$9,MATCH(D456,Accounts!$A$2:$A$9,0))</f>
        <v>Revenue</v>
      </c>
      <c r="G456" t="s">
        <v>41</v>
      </c>
      <c r="H456" t="s">
        <v>44</v>
      </c>
      <c r="I456">
        <v>90024</v>
      </c>
    </row>
    <row r="457" spans="1:9" x14ac:dyDescent="0.3">
      <c r="A457" t="s">
        <v>630</v>
      </c>
      <c r="B457" t="s">
        <v>628</v>
      </c>
      <c r="C457">
        <f t="shared" si="7"/>
        <v>45778</v>
      </c>
      <c r="D457">
        <v>6000</v>
      </c>
      <c r="E457" t="str">
        <f>INDEX(Accounts!$B$2:$B$9,MATCH(D457,Accounts!$A$2:$A$9,0))</f>
        <v>Salaries &amp; Wages</v>
      </c>
      <c r="F457" t="str">
        <f>INDEX(Accounts!$C$2:$C$9,MATCH(D457,Accounts!$A$2:$A$9,0))</f>
        <v>Operating Expense</v>
      </c>
      <c r="G457" t="s">
        <v>45</v>
      </c>
      <c r="H457" t="s">
        <v>44</v>
      </c>
      <c r="I457">
        <v>7979</v>
      </c>
    </row>
    <row r="458" spans="1:9" x14ac:dyDescent="0.3">
      <c r="A458" t="s">
        <v>631</v>
      </c>
      <c r="B458" t="s">
        <v>628</v>
      </c>
      <c r="C458">
        <f t="shared" si="7"/>
        <v>45778</v>
      </c>
      <c r="D458">
        <v>6100</v>
      </c>
      <c r="E458" t="str">
        <f>INDEX(Accounts!$B$2:$B$9,MATCH(D458,Accounts!$A$2:$A$9,0))</f>
        <v>Marketing Expense</v>
      </c>
      <c r="F458" t="str">
        <f>INDEX(Accounts!$C$2:$C$9,MATCH(D458,Accounts!$A$2:$A$9,0))</f>
        <v>Operating Expense</v>
      </c>
      <c r="G458" t="s">
        <v>45</v>
      </c>
      <c r="H458" t="s">
        <v>42</v>
      </c>
      <c r="I458">
        <v>13397</v>
      </c>
    </row>
    <row r="459" spans="1:9" x14ac:dyDescent="0.3">
      <c r="A459" t="s">
        <v>632</v>
      </c>
      <c r="B459" t="s">
        <v>628</v>
      </c>
      <c r="C459">
        <f t="shared" si="7"/>
        <v>45778</v>
      </c>
      <c r="D459">
        <v>6200</v>
      </c>
      <c r="E459" t="str">
        <f>INDEX(Accounts!$B$2:$B$9,MATCH(D459,Accounts!$A$2:$A$9,0))</f>
        <v>Rent &amp; Utilities</v>
      </c>
      <c r="F459" t="str">
        <f>INDEX(Accounts!$C$2:$C$9,MATCH(D459,Accounts!$A$2:$A$9,0))</f>
        <v>Operating Expense</v>
      </c>
      <c r="G459" t="s">
        <v>45</v>
      </c>
      <c r="H459" t="s">
        <v>44</v>
      </c>
      <c r="I459">
        <v>6328</v>
      </c>
    </row>
    <row r="460" spans="1:9" x14ac:dyDescent="0.3">
      <c r="A460" t="s">
        <v>633</v>
      </c>
      <c r="B460" t="s">
        <v>634</v>
      </c>
      <c r="C460">
        <f t="shared" si="7"/>
        <v>45778</v>
      </c>
      <c r="D460">
        <v>6200</v>
      </c>
      <c r="E460" t="str">
        <f>INDEX(Accounts!$B$2:$B$9,MATCH(D460,Accounts!$A$2:$A$9,0))</f>
        <v>Rent &amp; Utilities</v>
      </c>
      <c r="F460" t="str">
        <f>INDEX(Accounts!$C$2:$C$9,MATCH(D460,Accounts!$A$2:$A$9,0))</f>
        <v>Operating Expense</v>
      </c>
      <c r="G460" t="s">
        <v>41</v>
      </c>
      <c r="H460" t="s">
        <v>46</v>
      </c>
      <c r="I460">
        <v>14477</v>
      </c>
    </row>
    <row r="461" spans="1:9" x14ac:dyDescent="0.3">
      <c r="A461" t="s">
        <v>635</v>
      </c>
      <c r="B461" t="s">
        <v>634</v>
      </c>
      <c r="C461">
        <f t="shared" si="7"/>
        <v>45778</v>
      </c>
      <c r="D461">
        <v>5000</v>
      </c>
      <c r="E461" t="str">
        <f>INDEX(Accounts!$B$2:$B$9,MATCH(D461,Accounts!$A$2:$A$9,0))</f>
        <v>Cost of Goods Sold</v>
      </c>
      <c r="F461" t="str">
        <f>INDEX(Accounts!$C$2:$C$9,MATCH(D461,Accounts!$A$2:$A$9,0))</f>
        <v>COGS</v>
      </c>
      <c r="G461" t="s">
        <v>43</v>
      </c>
      <c r="H461" t="s">
        <v>46</v>
      </c>
      <c r="I461">
        <v>39350</v>
      </c>
    </row>
    <row r="462" spans="1:9" x14ac:dyDescent="0.3">
      <c r="A462" t="s">
        <v>636</v>
      </c>
      <c r="B462" t="s">
        <v>634</v>
      </c>
      <c r="C462">
        <f t="shared" si="7"/>
        <v>45778</v>
      </c>
      <c r="D462">
        <v>4000</v>
      </c>
      <c r="E462" t="str">
        <f>INDEX(Accounts!$B$2:$B$9,MATCH(D462,Accounts!$A$2:$A$9,0))</f>
        <v>Product Sales</v>
      </c>
      <c r="F462" t="str">
        <f>INDEX(Accounts!$C$2:$C$9,MATCH(D462,Accounts!$A$2:$A$9,0))</f>
        <v>Revenue</v>
      </c>
      <c r="G462" t="s">
        <v>43</v>
      </c>
      <c r="H462" t="s">
        <v>42</v>
      </c>
      <c r="I462">
        <v>131668</v>
      </c>
    </row>
    <row r="463" spans="1:9" x14ac:dyDescent="0.3">
      <c r="A463" t="s">
        <v>637</v>
      </c>
      <c r="B463" t="s">
        <v>634</v>
      </c>
      <c r="C463">
        <f t="shared" si="7"/>
        <v>45778</v>
      </c>
      <c r="D463">
        <v>6100</v>
      </c>
      <c r="E463" t="str">
        <f>INDEX(Accounts!$B$2:$B$9,MATCH(D463,Accounts!$A$2:$A$9,0))</f>
        <v>Marketing Expense</v>
      </c>
      <c r="F463" t="str">
        <f>INDEX(Accounts!$C$2:$C$9,MATCH(D463,Accounts!$A$2:$A$9,0))</f>
        <v>Operating Expense</v>
      </c>
      <c r="G463" t="s">
        <v>43</v>
      </c>
      <c r="H463" t="s">
        <v>46</v>
      </c>
      <c r="I463">
        <v>12515</v>
      </c>
    </row>
    <row r="464" spans="1:9" x14ac:dyDescent="0.3">
      <c r="A464" t="s">
        <v>638</v>
      </c>
      <c r="B464" t="s">
        <v>634</v>
      </c>
      <c r="C464">
        <f t="shared" si="7"/>
        <v>45778</v>
      </c>
      <c r="D464">
        <v>4000</v>
      </c>
      <c r="E464" t="str">
        <f>INDEX(Accounts!$B$2:$B$9,MATCH(D464,Accounts!$A$2:$A$9,0))</f>
        <v>Product Sales</v>
      </c>
      <c r="F464" t="str">
        <f>INDEX(Accounts!$C$2:$C$9,MATCH(D464,Accounts!$A$2:$A$9,0))</f>
        <v>Revenue</v>
      </c>
      <c r="G464" t="s">
        <v>45</v>
      </c>
      <c r="H464" t="s">
        <v>44</v>
      </c>
      <c r="I464">
        <v>117914</v>
      </c>
    </row>
    <row r="465" spans="1:9" x14ac:dyDescent="0.3">
      <c r="A465" t="s">
        <v>639</v>
      </c>
      <c r="B465" t="s">
        <v>640</v>
      </c>
      <c r="C465">
        <f t="shared" si="7"/>
        <v>45778</v>
      </c>
      <c r="D465">
        <v>6100</v>
      </c>
      <c r="E465" t="str">
        <f>INDEX(Accounts!$B$2:$B$9,MATCH(D465,Accounts!$A$2:$A$9,0))</f>
        <v>Marketing Expense</v>
      </c>
      <c r="F465" t="str">
        <f>INDEX(Accounts!$C$2:$C$9,MATCH(D465,Accounts!$A$2:$A$9,0))</f>
        <v>Operating Expense</v>
      </c>
      <c r="G465" t="s">
        <v>45</v>
      </c>
      <c r="H465" t="s">
        <v>46</v>
      </c>
      <c r="I465">
        <v>5050</v>
      </c>
    </row>
    <row r="466" spans="1:9" x14ac:dyDescent="0.3">
      <c r="A466" t="s">
        <v>641</v>
      </c>
      <c r="B466" t="s">
        <v>642</v>
      </c>
      <c r="C466">
        <f t="shared" si="7"/>
        <v>45778</v>
      </c>
      <c r="D466">
        <v>6100</v>
      </c>
      <c r="E466" t="str">
        <f>INDEX(Accounts!$B$2:$B$9,MATCH(D466,Accounts!$A$2:$A$9,0))</f>
        <v>Marketing Expense</v>
      </c>
      <c r="F466" t="str">
        <f>INDEX(Accounts!$C$2:$C$9,MATCH(D466,Accounts!$A$2:$A$9,0))</f>
        <v>Operating Expense</v>
      </c>
      <c r="G466" t="s">
        <v>41</v>
      </c>
      <c r="H466" t="s">
        <v>44</v>
      </c>
      <c r="I466">
        <v>12582</v>
      </c>
    </row>
    <row r="467" spans="1:9" x14ac:dyDescent="0.3">
      <c r="A467" t="s">
        <v>643</v>
      </c>
      <c r="B467" t="s">
        <v>642</v>
      </c>
      <c r="C467">
        <f t="shared" si="7"/>
        <v>45778</v>
      </c>
      <c r="D467">
        <v>4000</v>
      </c>
      <c r="E467" t="str">
        <f>INDEX(Accounts!$B$2:$B$9,MATCH(D467,Accounts!$A$2:$A$9,0))</f>
        <v>Product Sales</v>
      </c>
      <c r="F467" t="str">
        <f>INDEX(Accounts!$C$2:$C$9,MATCH(D467,Accounts!$A$2:$A$9,0))</f>
        <v>Revenue</v>
      </c>
      <c r="G467" t="s">
        <v>43</v>
      </c>
      <c r="H467" t="s">
        <v>44</v>
      </c>
      <c r="I467">
        <v>37760</v>
      </c>
    </row>
    <row r="468" spans="1:9" x14ac:dyDescent="0.3">
      <c r="A468" t="s">
        <v>644</v>
      </c>
      <c r="B468" t="s">
        <v>642</v>
      </c>
      <c r="C468">
        <f t="shared" si="7"/>
        <v>45778</v>
      </c>
      <c r="D468">
        <v>6100</v>
      </c>
      <c r="E468" t="str">
        <f>INDEX(Accounts!$B$2:$B$9,MATCH(D468,Accounts!$A$2:$A$9,0))</f>
        <v>Marketing Expense</v>
      </c>
      <c r="F468" t="str">
        <f>INDEX(Accounts!$C$2:$C$9,MATCH(D468,Accounts!$A$2:$A$9,0))</f>
        <v>Operating Expense</v>
      </c>
      <c r="G468" t="s">
        <v>45</v>
      </c>
      <c r="H468" t="s">
        <v>42</v>
      </c>
      <c r="I468">
        <v>10255</v>
      </c>
    </row>
    <row r="469" spans="1:9" x14ac:dyDescent="0.3">
      <c r="A469" t="s">
        <v>645</v>
      </c>
      <c r="B469" t="s">
        <v>642</v>
      </c>
      <c r="C469">
        <f t="shared" si="7"/>
        <v>45778</v>
      </c>
      <c r="D469">
        <v>5000</v>
      </c>
      <c r="E469" t="str">
        <f>INDEX(Accounts!$B$2:$B$9,MATCH(D469,Accounts!$A$2:$A$9,0))</f>
        <v>Cost of Goods Sold</v>
      </c>
      <c r="F469" t="str">
        <f>INDEX(Accounts!$C$2:$C$9,MATCH(D469,Accounts!$A$2:$A$9,0))</f>
        <v>COGS</v>
      </c>
      <c r="G469" t="s">
        <v>47</v>
      </c>
      <c r="H469" t="s">
        <v>44</v>
      </c>
      <c r="I469">
        <v>27869</v>
      </c>
    </row>
    <row r="470" spans="1:9" x14ac:dyDescent="0.3">
      <c r="A470" t="s">
        <v>646</v>
      </c>
      <c r="B470" t="s">
        <v>647</v>
      </c>
      <c r="C470">
        <f t="shared" si="7"/>
        <v>45778</v>
      </c>
      <c r="D470">
        <v>6100</v>
      </c>
      <c r="E470" t="str">
        <f>INDEX(Accounts!$B$2:$B$9,MATCH(D470,Accounts!$A$2:$A$9,0))</f>
        <v>Marketing Expense</v>
      </c>
      <c r="F470" t="str">
        <f>INDEX(Accounts!$C$2:$C$9,MATCH(D470,Accounts!$A$2:$A$9,0))</f>
        <v>Operating Expense</v>
      </c>
      <c r="G470" t="s">
        <v>43</v>
      </c>
      <c r="H470" t="s">
        <v>42</v>
      </c>
      <c r="I470">
        <v>10843</v>
      </c>
    </row>
    <row r="471" spans="1:9" x14ac:dyDescent="0.3">
      <c r="A471" t="s">
        <v>648</v>
      </c>
      <c r="B471" t="s">
        <v>647</v>
      </c>
      <c r="C471">
        <f t="shared" si="7"/>
        <v>45778</v>
      </c>
      <c r="D471">
        <v>4000</v>
      </c>
      <c r="E471" t="str">
        <f>INDEX(Accounts!$B$2:$B$9,MATCH(D471,Accounts!$A$2:$A$9,0))</f>
        <v>Product Sales</v>
      </c>
      <c r="F471" t="str">
        <f>INDEX(Accounts!$C$2:$C$9,MATCH(D471,Accounts!$A$2:$A$9,0))</f>
        <v>Revenue</v>
      </c>
      <c r="G471" t="s">
        <v>43</v>
      </c>
      <c r="H471" t="s">
        <v>42</v>
      </c>
      <c r="I471">
        <v>142908</v>
      </c>
    </row>
    <row r="472" spans="1:9" x14ac:dyDescent="0.3">
      <c r="A472" t="s">
        <v>649</v>
      </c>
      <c r="B472" t="s">
        <v>650</v>
      </c>
      <c r="C472">
        <f t="shared" si="7"/>
        <v>45778</v>
      </c>
      <c r="D472">
        <v>6300</v>
      </c>
      <c r="E472" t="str">
        <f>INDEX(Accounts!$B$2:$B$9,MATCH(D472,Accounts!$A$2:$A$9,0))</f>
        <v>Logistics Expense</v>
      </c>
      <c r="F472" t="str">
        <f>INDEX(Accounts!$C$2:$C$9,MATCH(D472,Accounts!$A$2:$A$9,0))</f>
        <v>Operating Expense</v>
      </c>
      <c r="G472" t="s">
        <v>45</v>
      </c>
      <c r="H472" t="s">
        <v>42</v>
      </c>
      <c r="I472">
        <v>3289</v>
      </c>
    </row>
    <row r="473" spans="1:9" x14ac:dyDescent="0.3">
      <c r="A473" t="s">
        <v>651</v>
      </c>
      <c r="B473" t="s">
        <v>650</v>
      </c>
      <c r="C473">
        <f t="shared" si="7"/>
        <v>45778</v>
      </c>
      <c r="D473">
        <v>4000</v>
      </c>
      <c r="E473" t="str">
        <f>INDEX(Accounts!$B$2:$B$9,MATCH(D473,Accounts!$A$2:$A$9,0))</f>
        <v>Product Sales</v>
      </c>
      <c r="F473" t="str">
        <f>INDEX(Accounts!$C$2:$C$9,MATCH(D473,Accounts!$A$2:$A$9,0))</f>
        <v>Revenue</v>
      </c>
      <c r="G473" t="s">
        <v>47</v>
      </c>
      <c r="H473" t="s">
        <v>42</v>
      </c>
      <c r="I473">
        <v>33445</v>
      </c>
    </row>
    <row r="474" spans="1:9" x14ac:dyDescent="0.3">
      <c r="A474" t="s">
        <v>652</v>
      </c>
      <c r="B474" t="s">
        <v>650</v>
      </c>
      <c r="C474">
        <f t="shared" si="7"/>
        <v>45778</v>
      </c>
      <c r="D474">
        <v>5000</v>
      </c>
      <c r="E474" t="str">
        <f>INDEX(Accounts!$B$2:$B$9,MATCH(D474,Accounts!$A$2:$A$9,0))</f>
        <v>Cost of Goods Sold</v>
      </c>
      <c r="F474" t="str">
        <f>INDEX(Accounts!$C$2:$C$9,MATCH(D474,Accounts!$A$2:$A$9,0))</f>
        <v>COGS</v>
      </c>
      <c r="G474" t="s">
        <v>45</v>
      </c>
      <c r="H474" t="s">
        <v>42</v>
      </c>
      <c r="I474">
        <v>65253</v>
      </c>
    </row>
    <row r="475" spans="1:9" x14ac:dyDescent="0.3">
      <c r="A475" t="s">
        <v>653</v>
      </c>
      <c r="B475" t="s">
        <v>650</v>
      </c>
      <c r="C475">
        <f t="shared" si="7"/>
        <v>45778</v>
      </c>
      <c r="D475">
        <v>6100</v>
      </c>
      <c r="E475" t="str">
        <f>INDEX(Accounts!$B$2:$B$9,MATCH(D475,Accounts!$A$2:$A$9,0))</f>
        <v>Marketing Expense</v>
      </c>
      <c r="F475" t="str">
        <f>INDEX(Accounts!$C$2:$C$9,MATCH(D475,Accounts!$A$2:$A$9,0))</f>
        <v>Operating Expense</v>
      </c>
      <c r="G475" t="s">
        <v>43</v>
      </c>
      <c r="H475" t="s">
        <v>46</v>
      </c>
      <c r="I475">
        <v>12513</v>
      </c>
    </row>
    <row r="476" spans="1:9" x14ac:dyDescent="0.3">
      <c r="A476" t="s">
        <v>654</v>
      </c>
      <c r="B476" t="s">
        <v>650</v>
      </c>
      <c r="C476">
        <f t="shared" si="7"/>
        <v>45778</v>
      </c>
      <c r="D476">
        <v>6200</v>
      </c>
      <c r="E476" t="str">
        <f>INDEX(Accounts!$B$2:$B$9,MATCH(D476,Accounts!$A$2:$A$9,0))</f>
        <v>Rent &amp; Utilities</v>
      </c>
      <c r="F476" t="str">
        <f>INDEX(Accounts!$C$2:$C$9,MATCH(D476,Accounts!$A$2:$A$9,0))</f>
        <v>Operating Expense</v>
      </c>
      <c r="G476" t="s">
        <v>41</v>
      </c>
      <c r="H476" t="s">
        <v>44</v>
      </c>
      <c r="I476">
        <v>10520</v>
      </c>
    </row>
    <row r="477" spans="1:9" x14ac:dyDescent="0.3">
      <c r="A477" t="s">
        <v>655</v>
      </c>
      <c r="B477" t="s">
        <v>656</v>
      </c>
      <c r="C477">
        <f t="shared" si="7"/>
        <v>45778</v>
      </c>
      <c r="D477">
        <v>6200</v>
      </c>
      <c r="E477" t="str">
        <f>INDEX(Accounts!$B$2:$B$9,MATCH(D477,Accounts!$A$2:$A$9,0))</f>
        <v>Rent &amp; Utilities</v>
      </c>
      <c r="F477" t="str">
        <f>INDEX(Accounts!$C$2:$C$9,MATCH(D477,Accounts!$A$2:$A$9,0))</f>
        <v>Operating Expense</v>
      </c>
      <c r="G477" t="s">
        <v>45</v>
      </c>
      <c r="H477" t="s">
        <v>46</v>
      </c>
      <c r="I477">
        <v>13309</v>
      </c>
    </row>
    <row r="478" spans="1:9" x14ac:dyDescent="0.3">
      <c r="A478" t="s">
        <v>657</v>
      </c>
      <c r="B478" t="s">
        <v>656</v>
      </c>
      <c r="C478">
        <f t="shared" si="7"/>
        <v>45778</v>
      </c>
      <c r="D478">
        <v>4000</v>
      </c>
      <c r="E478" t="str">
        <f>INDEX(Accounts!$B$2:$B$9,MATCH(D478,Accounts!$A$2:$A$9,0))</f>
        <v>Product Sales</v>
      </c>
      <c r="F478" t="str">
        <f>INDEX(Accounts!$C$2:$C$9,MATCH(D478,Accounts!$A$2:$A$9,0))</f>
        <v>Revenue</v>
      </c>
      <c r="G478" t="s">
        <v>45</v>
      </c>
      <c r="H478" t="s">
        <v>44</v>
      </c>
      <c r="I478">
        <v>128424</v>
      </c>
    </row>
    <row r="479" spans="1:9" x14ac:dyDescent="0.3">
      <c r="A479" t="s">
        <v>658</v>
      </c>
      <c r="B479" t="s">
        <v>656</v>
      </c>
      <c r="C479">
        <f t="shared" si="7"/>
        <v>45778</v>
      </c>
      <c r="D479">
        <v>6000</v>
      </c>
      <c r="E479" t="str">
        <f>INDEX(Accounts!$B$2:$B$9,MATCH(D479,Accounts!$A$2:$A$9,0))</f>
        <v>Salaries &amp; Wages</v>
      </c>
      <c r="F479" t="str">
        <f>INDEX(Accounts!$C$2:$C$9,MATCH(D479,Accounts!$A$2:$A$9,0))</f>
        <v>Operating Expense</v>
      </c>
      <c r="G479" t="s">
        <v>43</v>
      </c>
      <c r="H479" t="s">
        <v>44</v>
      </c>
      <c r="I479">
        <v>26419</v>
      </c>
    </row>
    <row r="480" spans="1:9" x14ac:dyDescent="0.3">
      <c r="A480" t="s">
        <v>659</v>
      </c>
      <c r="B480" t="s">
        <v>656</v>
      </c>
      <c r="C480">
        <f t="shared" si="7"/>
        <v>45778</v>
      </c>
      <c r="D480">
        <v>4000</v>
      </c>
      <c r="E480" t="str">
        <f>INDEX(Accounts!$B$2:$B$9,MATCH(D480,Accounts!$A$2:$A$9,0))</f>
        <v>Product Sales</v>
      </c>
      <c r="F480" t="str">
        <f>INDEX(Accounts!$C$2:$C$9,MATCH(D480,Accounts!$A$2:$A$9,0))</f>
        <v>Revenue</v>
      </c>
      <c r="G480" t="s">
        <v>45</v>
      </c>
      <c r="H480" t="s">
        <v>46</v>
      </c>
      <c r="I480">
        <v>106521</v>
      </c>
    </row>
    <row r="481" spans="1:9" x14ac:dyDescent="0.3">
      <c r="A481" t="s">
        <v>660</v>
      </c>
      <c r="B481" t="s">
        <v>656</v>
      </c>
      <c r="C481">
        <f t="shared" si="7"/>
        <v>45778</v>
      </c>
      <c r="D481">
        <v>5000</v>
      </c>
      <c r="E481" t="str">
        <f>INDEX(Accounts!$B$2:$B$9,MATCH(D481,Accounts!$A$2:$A$9,0))</f>
        <v>Cost of Goods Sold</v>
      </c>
      <c r="F481" t="str">
        <f>INDEX(Accounts!$C$2:$C$9,MATCH(D481,Accounts!$A$2:$A$9,0))</f>
        <v>COGS</v>
      </c>
      <c r="G481" t="s">
        <v>45</v>
      </c>
      <c r="H481" t="s">
        <v>44</v>
      </c>
      <c r="I481">
        <v>42860</v>
      </c>
    </row>
    <row r="482" spans="1:9" x14ac:dyDescent="0.3">
      <c r="A482" t="s">
        <v>661</v>
      </c>
      <c r="B482" t="s">
        <v>656</v>
      </c>
      <c r="C482">
        <f t="shared" si="7"/>
        <v>45778</v>
      </c>
      <c r="D482">
        <v>4000</v>
      </c>
      <c r="E482" t="str">
        <f>INDEX(Accounts!$B$2:$B$9,MATCH(D482,Accounts!$A$2:$A$9,0))</f>
        <v>Product Sales</v>
      </c>
      <c r="F482" t="str">
        <f>INDEX(Accounts!$C$2:$C$9,MATCH(D482,Accounts!$A$2:$A$9,0))</f>
        <v>Revenue</v>
      </c>
      <c r="G482" t="s">
        <v>48</v>
      </c>
      <c r="H482" t="s">
        <v>46</v>
      </c>
      <c r="I482">
        <v>108598</v>
      </c>
    </row>
    <row r="483" spans="1:9" x14ac:dyDescent="0.3">
      <c r="A483" t="s">
        <v>662</v>
      </c>
      <c r="B483" t="s">
        <v>656</v>
      </c>
      <c r="C483">
        <f t="shared" si="7"/>
        <v>45778</v>
      </c>
      <c r="D483">
        <v>6300</v>
      </c>
      <c r="E483" t="str">
        <f>INDEX(Accounts!$B$2:$B$9,MATCH(D483,Accounts!$A$2:$A$9,0))</f>
        <v>Logistics Expense</v>
      </c>
      <c r="F483" t="str">
        <f>INDEX(Accounts!$C$2:$C$9,MATCH(D483,Accounts!$A$2:$A$9,0))</f>
        <v>Operating Expense</v>
      </c>
      <c r="G483" t="s">
        <v>48</v>
      </c>
      <c r="H483" t="s">
        <v>46</v>
      </c>
      <c r="I483">
        <v>5121</v>
      </c>
    </row>
    <row r="484" spans="1:9" x14ac:dyDescent="0.3">
      <c r="A484" t="s">
        <v>663</v>
      </c>
      <c r="B484" t="s">
        <v>656</v>
      </c>
      <c r="C484">
        <f t="shared" si="7"/>
        <v>45778</v>
      </c>
      <c r="D484">
        <v>4000</v>
      </c>
      <c r="E484" t="str">
        <f>INDEX(Accounts!$B$2:$B$9,MATCH(D484,Accounts!$A$2:$A$9,0))</f>
        <v>Product Sales</v>
      </c>
      <c r="F484" t="str">
        <f>INDEX(Accounts!$C$2:$C$9,MATCH(D484,Accounts!$A$2:$A$9,0))</f>
        <v>Revenue</v>
      </c>
      <c r="G484" t="s">
        <v>43</v>
      </c>
      <c r="H484" t="s">
        <v>44</v>
      </c>
      <c r="I484">
        <v>174366</v>
      </c>
    </row>
    <row r="485" spans="1:9" x14ac:dyDescent="0.3">
      <c r="A485" t="s">
        <v>664</v>
      </c>
      <c r="B485" t="s">
        <v>665</v>
      </c>
      <c r="C485">
        <f t="shared" si="7"/>
        <v>45778</v>
      </c>
      <c r="D485">
        <v>5000</v>
      </c>
      <c r="E485" t="str">
        <f>INDEX(Accounts!$B$2:$B$9,MATCH(D485,Accounts!$A$2:$A$9,0))</f>
        <v>Cost of Goods Sold</v>
      </c>
      <c r="F485" t="str">
        <f>INDEX(Accounts!$C$2:$C$9,MATCH(D485,Accounts!$A$2:$A$9,0))</f>
        <v>COGS</v>
      </c>
      <c r="G485" t="s">
        <v>43</v>
      </c>
      <c r="H485" t="s">
        <v>46</v>
      </c>
      <c r="I485">
        <v>25921</v>
      </c>
    </row>
    <row r="486" spans="1:9" x14ac:dyDescent="0.3">
      <c r="A486" t="s">
        <v>666</v>
      </c>
      <c r="B486" t="s">
        <v>665</v>
      </c>
      <c r="C486">
        <f t="shared" si="7"/>
        <v>45778</v>
      </c>
      <c r="D486">
        <v>6100</v>
      </c>
      <c r="E486" t="str">
        <f>INDEX(Accounts!$B$2:$B$9,MATCH(D486,Accounts!$A$2:$A$9,0))</f>
        <v>Marketing Expense</v>
      </c>
      <c r="F486" t="str">
        <f>INDEX(Accounts!$C$2:$C$9,MATCH(D486,Accounts!$A$2:$A$9,0))</f>
        <v>Operating Expense</v>
      </c>
      <c r="G486" t="s">
        <v>43</v>
      </c>
      <c r="H486" t="s">
        <v>46</v>
      </c>
      <c r="I486">
        <v>12628</v>
      </c>
    </row>
    <row r="487" spans="1:9" x14ac:dyDescent="0.3">
      <c r="A487" t="s">
        <v>667</v>
      </c>
      <c r="B487" t="s">
        <v>668</v>
      </c>
      <c r="C487">
        <f t="shared" si="7"/>
        <v>45778</v>
      </c>
      <c r="D487">
        <v>6100</v>
      </c>
      <c r="E487" t="str">
        <f>INDEX(Accounts!$B$2:$B$9,MATCH(D487,Accounts!$A$2:$A$9,0))</f>
        <v>Marketing Expense</v>
      </c>
      <c r="F487" t="str">
        <f>INDEX(Accounts!$C$2:$C$9,MATCH(D487,Accounts!$A$2:$A$9,0))</f>
        <v>Operating Expense</v>
      </c>
      <c r="G487" t="s">
        <v>41</v>
      </c>
      <c r="H487" t="s">
        <v>42</v>
      </c>
      <c r="I487">
        <v>9625</v>
      </c>
    </row>
    <row r="488" spans="1:9" x14ac:dyDescent="0.3">
      <c r="A488" t="s">
        <v>669</v>
      </c>
      <c r="B488" t="s">
        <v>668</v>
      </c>
      <c r="C488">
        <f t="shared" si="7"/>
        <v>45778</v>
      </c>
      <c r="D488">
        <v>6400</v>
      </c>
      <c r="E488" t="str">
        <f>INDEX(Accounts!$B$2:$B$9,MATCH(D488,Accounts!$A$2:$A$9,0))</f>
        <v>Software &amp; Admin</v>
      </c>
      <c r="F488" t="str">
        <f>INDEX(Accounts!$C$2:$C$9,MATCH(D488,Accounts!$A$2:$A$9,0))</f>
        <v>Operating Expense</v>
      </c>
      <c r="G488" t="s">
        <v>43</v>
      </c>
      <c r="H488" t="s">
        <v>44</v>
      </c>
      <c r="I488">
        <v>7154</v>
      </c>
    </row>
    <row r="489" spans="1:9" x14ac:dyDescent="0.3">
      <c r="A489" t="s">
        <v>670</v>
      </c>
      <c r="B489" t="s">
        <v>668</v>
      </c>
      <c r="C489">
        <f t="shared" si="7"/>
        <v>45778</v>
      </c>
      <c r="D489">
        <v>4100</v>
      </c>
      <c r="E489" t="str">
        <f>INDEX(Accounts!$B$2:$B$9,MATCH(D489,Accounts!$A$2:$A$9,0))</f>
        <v>Sales Returns &amp; Discounts</v>
      </c>
      <c r="F489" t="str">
        <f>INDEX(Accounts!$C$2:$C$9,MATCH(D489,Accounts!$A$2:$A$9,0))</f>
        <v>Contra Revenue</v>
      </c>
      <c r="G489" t="s">
        <v>43</v>
      </c>
      <c r="H489" t="s">
        <v>44</v>
      </c>
      <c r="I489">
        <v>8635</v>
      </c>
    </row>
    <row r="490" spans="1:9" x14ac:dyDescent="0.3">
      <c r="A490" t="s">
        <v>671</v>
      </c>
      <c r="B490" t="s">
        <v>668</v>
      </c>
      <c r="C490">
        <f t="shared" si="7"/>
        <v>45778</v>
      </c>
      <c r="D490">
        <v>4100</v>
      </c>
      <c r="E490" t="str">
        <f>INDEX(Accounts!$B$2:$B$9,MATCH(D490,Accounts!$A$2:$A$9,0))</f>
        <v>Sales Returns &amp; Discounts</v>
      </c>
      <c r="F490" t="str">
        <f>INDEX(Accounts!$C$2:$C$9,MATCH(D490,Accounts!$A$2:$A$9,0))</f>
        <v>Contra Revenue</v>
      </c>
      <c r="G490" t="s">
        <v>41</v>
      </c>
      <c r="H490" t="s">
        <v>42</v>
      </c>
      <c r="I490">
        <v>3390</v>
      </c>
    </row>
    <row r="491" spans="1:9" x14ac:dyDescent="0.3">
      <c r="A491" t="s">
        <v>672</v>
      </c>
      <c r="B491" t="s">
        <v>668</v>
      </c>
      <c r="C491">
        <f t="shared" si="7"/>
        <v>45778</v>
      </c>
      <c r="D491">
        <v>4000</v>
      </c>
      <c r="E491" t="str">
        <f>INDEX(Accounts!$B$2:$B$9,MATCH(D491,Accounts!$A$2:$A$9,0))</f>
        <v>Product Sales</v>
      </c>
      <c r="F491" t="str">
        <f>INDEX(Accounts!$C$2:$C$9,MATCH(D491,Accounts!$A$2:$A$9,0))</f>
        <v>Revenue</v>
      </c>
      <c r="G491" t="s">
        <v>45</v>
      </c>
      <c r="H491" t="s">
        <v>46</v>
      </c>
      <c r="I491">
        <v>151669</v>
      </c>
    </row>
    <row r="492" spans="1:9" x14ac:dyDescent="0.3">
      <c r="A492" t="s">
        <v>673</v>
      </c>
      <c r="B492" t="s">
        <v>674</v>
      </c>
      <c r="C492">
        <f t="shared" si="7"/>
        <v>45778</v>
      </c>
      <c r="D492">
        <v>6200</v>
      </c>
      <c r="E492" t="str">
        <f>INDEX(Accounts!$B$2:$B$9,MATCH(D492,Accounts!$A$2:$A$9,0))</f>
        <v>Rent &amp; Utilities</v>
      </c>
      <c r="F492" t="str">
        <f>INDEX(Accounts!$C$2:$C$9,MATCH(D492,Accounts!$A$2:$A$9,0))</f>
        <v>Operating Expense</v>
      </c>
      <c r="G492" t="s">
        <v>41</v>
      </c>
      <c r="H492" t="s">
        <v>44</v>
      </c>
      <c r="I492">
        <v>5541</v>
      </c>
    </row>
    <row r="493" spans="1:9" x14ac:dyDescent="0.3">
      <c r="A493" t="s">
        <v>675</v>
      </c>
      <c r="B493" t="s">
        <v>676</v>
      </c>
      <c r="C493">
        <f t="shared" si="7"/>
        <v>45778</v>
      </c>
      <c r="D493">
        <v>6100</v>
      </c>
      <c r="E493" t="str">
        <f>INDEX(Accounts!$B$2:$B$9,MATCH(D493,Accounts!$A$2:$A$9,0))</f>
        <v>Marketing Expense</v>
      </c>
      <c r="F493" t="str">
        <f>INDEX(Accounts!$C$2:$C$9,MATCH(D493,Accounts!$A$2:$A$9,0))</f>
        <v>Operating Expense</v>
      </c>
      <c r="G493" t="s">
        <v>43</v>
      </c>
      <c r="H493" t="s">
        <v>46</v>
      </c>
      <c r="I493">
        <v>17081</v>
      </c>
    </row>
    <row r="494" spans="1:9" x14ac:dyDescent="0.3">
      <c r="A494" t="s">
        <v>677</v>
      </c>
      <c r="B494" t="s">
        <v>676</v>
      </c>
      <c r="C494">
        <f t="shared" si="7"/>
        <v>45778</v>
      </c>
      <c r="D494">
        <v>5000</v>
      </c>
      <c r="E494" t="str">
        <f>INDEX(Accounts!$B$2:$B$9,MATCH(D494,Accounts!$A$2:$A$9,0))</f>
        <v>Cost of Goods Sold</v>
      </c>
      <c r="F494" t="str">
        <f>INDEX(Accounts!$C$2:$C$9,MATCH(D494,Accounts!$A$2:$A$9,0))</f>
        <v>COGS</v>
      </c>
      <c r="G494" t="s">
        <v>43</v>
      </c>
      <c r="H494" t="s">
        <v>46</v>
      </c>
      <c r="I494">
        <v>58512</v>
      </c>
    </row>
    <row r="495" spans="1:9" x14ac:dyDescent="0.3">
      <c r="A495" t="s">
        <v>678</v>
      </c>
      <c r="B495" t="s">
        <v>676</v>
      </c>
      <c r="C495">
        <f t="shared" si="7"/>
        <v>45778</v>
      </c>
      <c r="D495">
        <v>5000</v>
      </c>
      <c r="E495" t="str">
        <f>INDEX(Accounts!$B$2:$B$9,MATCH(D495,Accounts!$A$2:$A$9,0))</f>
        <v>Cost of Goods Sold</v>
      </c>
      <c r="F495" t="str">
        <f>INDEX(Accounts!$C$2:$C$9,MATCH(D495,Accounts!$A$2:$A$9,0))</f>
        <v>COGS</v>
      </c>
      <c r="G495" t="s">
        <v>41</v>
      </c>
      <c r="H495" t="s">
        <v>42</v>
      </c>
      <c r="I495">
        <v>69248</v>
      </c>
    </row>
    <row r="496" spans="1:9" x14ac:dyDescent="0.3">
      <c r="A496" t="s">
        <v>679</v>
      </c>
      <c r="B496" t="s">
        <v>676</v>
      </c>
      <c r="C496">
        <f t="shared" si="7"/>
        <v>45778</v>
      </c>
      <c r="D496">
        <v>4000</v>
      </c>
      <c r="E496" t="str">
        <f>INDEX(Accounts!$B$2:$B$9,MATCH(D496,Accounts!$A$2:$A$9,0))</f>
        <v>Product Sales</v>
      </c>
      <c r="F496" t="str">
        <f>INDEX(Accounts!$C$2:$C$9,MATCH(D496,Accounts!$A$2:$A$9,0))</f>
        <v>Revenue</v>
      </c>
      <c r="G496" t="s">
        <v>41</v>
      </c>
      <c r="H496" t="s">
        <v>46</v>
      </c>
      <c r="I496">
        <v>135195</v>
      </c>
    </row>
    <row r="497" spans="1:9" x14ac:dyDescent="0.3">
      <c r="A497" t="s">
        <v>680</v>
      </c>
      <c r="B497" t="s">
        <v>676</v>
      </c>
      <c r="C497">
        <f t="shared" si="7"/>
        <v>45778</v>
      </c>
      <c r="D497">
        <v>4100</v>
      </c>
      <c r="E497" t="str">
        <f>INDEX(Accounts!$B$2:$B$9,MATCH(D497,Accounts!$A$2:$A$9,0))</f>
        <v>Sales Returns &amp; Discounts</v>
      </c>
      <c r="F497" t="str">
        <f>INDEX(Accounts!$C$2:$C$9,MATCH(D497,Accounts!$A$2:$A$9,0))</f>
        <v>Contra Revenue</v>
      </c>
      <c r="G497" t="s">
        <v>41</v>
      </c>
      <c r="H497" t="s">
        <v>46</v>
      </c>
      <c r="I497">
        <v>3869</v>
      </c>
    </row>
    <row r="498" spans="1:9" x14ac:dyDescent="0.3">
      <c r="A498" t="s">
        <v>681</v>
      </c>
      <c r="B498" t="s">
        <v>676</v>
      </c>
      <c r="C498">
        <f t="shared" si="7"/>
        <v>45778</v>
      </c>
      <c r="D498">
        <v>6400</v>
      </c>
      <c r="E498" t="str">
        <f>INDEX(Accounts!$B$2:$B$9,MATCH(D498,Accounts!$A$2:$A$9,0))</f>
        <v>Software &amp; Admin</v>
      </c>
      <c r="F498" t="str">
        <f>INDEX(Accounts!$C$2:$C$9,MATCH(D498,Accounts!$A$2:$A$9,0))</f>
        <v>Operating Expense</v>
      </c>
      <c r="G498" t="s">
        <v>43</v>
      </c>
      <c r="H498" t="s">
        <v>42</v>
      </c>
      <c r="I498">
        <v>7363</v>
      </c>
    </row>
    <row r="499" spans="1:9" x14ac:dyDescent="0.3">
      <c r="A499" t="s">
        <v>682</v>
      </c>
      <c r="B499" t="s">
        <v>683</v>
      </c>
      <c r="C499">
        <f t="shared" si="7"/>
        <v>45778</v>
      </c>
      <c r="D499">
        <v>6100</v>
      </c>
      <c r="E499" t="str">
        <f>INDEX(Accounts!$B$2:$B$9,MATCH(D499,Accounts!$A$2:$A$9,0))</f>
        <v>Marketing Expense</v>
      </c>
      <c r="F499" t="str">
        <f>INDEX(Accounts!$C$2:$C$9,MATCH(D499,Accounts!$A$2:$A$9,0))</f>
        <v>Operating Expense</v>
      </c>
      <c r="G499" t="s">
        <v>45</v>
      </c>
      <c r="H499" t="s">
        <v>44</v>
      </c>
      <c r="I499">
        <v>13500</v>
      </c>
    </row>
    <row r="500" spans="1:9" x14ac:dyDescent="0.3">
      <c r="A500" t="s">
        <v>684</v>
      </c>
      <c r="B500" t="s">
        <v>683</v>
      </c>
      <c r="C500">
        <f t="shared" si="7"/>
        <v>45778</v>
      </c>
      <c r="D500">
        <v>5000</v>
      </c>
      <c r="E500" t="str">
        <f>INDEX(Accounts!$B$2:$B$9,MATCH(D500,Accounts!$A$2:$A$9,0))</f>
        <v>Cost of Goods Sold</v>
      </c>
      <c r="F500" t="str">
        <f>INDEX(Accounts!$C$2:$C$9,MATCH(D500,Accounts!$A$2:$A$9,0))</f>
        <v>COGS</v>
      </c>
      <c r="G500" t="s">
        <v>43</v>
      </c>
      <c r="H500" t="s">
        <v>46</v>
      </c>
      <c r="I500">
        <v>15353</v>
      </c>
    </row>
    <row r="501" spans="1:9" x14ac:dyDescent="0.3">
      <c r="A501" t="s">
        <v>685</v>
      </c>
      <c r="B501" t="s">
        <v>686</v>
      </c>
      <c r="C501">
        <f t="shared" si="7"/>
        <v>45778</v>
      </c>
      <c r="D501">
        <v>4000</v>
      </c>
      <c r="E501" t="str">
        <f>INDEX(Accounts!$B$2:$B$9,MATCH(D501,Accounts!$A$2:$A$9,0))</f>
        <v>Product Sales</v>
      </c>
      <c r="F501" t="str">
        <f>INDEX(Accounts!$C$2:$C$9,MATCH(D501,Accounts!$A$2:$A$9,0))</f>
        <v>Revenue</v>
      </c>
      <c r="G501" t="s">
        <v>45</v>
      </c>
      <c r="H501" t="s">
        <v>46</v>
      </c>
      <c r="I501">
        <v>124664</v>
      </c>
    </row>
    <row r="502" spans="1:9" x14ac:dyDescent="0.3">
      <c r="A502" t="s">
        <v>687</v>
      </c>
      <c r="B502" t="s">
        <v>686</v>
      </c>
      <c r="C502">
        <f t="shared" si="7"/>
        <v>45778</v>
      </c>
      <c r="D502">
        <v>6300</v>
      </c>
      <c r="E502" t="str">
        <f>INDEX(Accounts!$B$2:$B$9,MATCH(D502,Accounts!$A$2:$A$9,0))</f>
        <v>Logistics Expense</v>
      </c>
      <c r="F502" t="str">
        <f>INDEX(Accounts!$C$2:$C$9,MATCH(D502,Accounts!$A$2:$A$9,0))</f>
        <v>Operating Expense</v>
      </c>
      <c r="G502" t="s">
        <v>45</v>
      </c>
      <c r="H502" t="s">
        <v>42</v>
      </c>
      <c r="I502">
        <v>13063</v>
      </c>
    </row>
    <row r="503" spans="1:9" x14ac:dyDescent="0.3">
      <c r="A503" t="s">
        <v>688</v>
      </c>
      <c r="B503" t="s">
        <v>689</v>
      </c>
      <c r="C503">
        <f t="shared" si="7"/>
        <v>45778</v>
      </c>
      <c r="D503">
        <v>5000</v>
      </c>
      <c r="E503" t="str">
        <f>INDEX(Accounts!$B$2:$B$9,MATCH(D503,Accounts!$A$2:$A$9,0))</f>
        <v>Cost of Goods Sold</v>
      </c>
      <c r="F503" t="str">
        <f>INDEX(Accounts!$C$2:$C$9,MATCH(D503,Accounts!$A$2:$A$9,0))</f>
        <v>COGS</v>
      </c>
      <c r="G503" t="s">
        <v>48</v>
      </c>
      <c r="H503" t="s">
        <v>44</v>
      </c>
      <c r="I503">
        <v>67776</v>
      </c>
    </row>
    <row r="504" spans="1:9" x14ac:dyDescent="0.3">
      <c r="A504" t="s">
        <v>690</v>
      </c>
      <c r="B504" t="s">
        <v>689</v>
      </c>
      <c r="C504">
        <f t="shared" si="7"/>
        <v>45778</v>
      </c>
      <c r="D504">
        <v>5000</v>
      </c>
      <c r="E504" t="str">
        <f>INDEX(Accounts!$B$2:$B$9,MATCH(D504,Accounts!$A$2:$A$9,0))</f>
        <v>Cost of Goods Sold</v>
      </c>
      <c r="F504" t="str">
        <f>INDEX(Accounts!$C$2:$C$9,MATCH(D504,Accounts!$A$2:$A$9,0))</f>
        <v>COGS</v>
      </c>
      <c r="G504" t="s">
        <v>41</v>
      </c>
      <c r="H504" t="s">
        <v>42</v>
      </c>
      <c r="I504">
        <v>29671</v>
      </c>
    </row>
    <row r="505" spans="1:9" x14ac:dyDescent="0.3">
      <c r="A505" t="s">
        <v>691</v>
      </c>
      <c r="B505" t="s">
        <v>689</v>
      </c>
      <c r="C505">
        <f t="shared" si="7"/>
        <v>45778</v>
      </c>
      <c r="D505">
        <v>5000</v>
      </c>
      <c r="E505" t="str">
        <f>INDEX(Accounts!$B$2:$B$9,MATCH(D505,Accounts!$A$2:$A$9,0))</f>
        <v>Cost of Goods Sold</v>
      </c>
      <c r="F505" t="str">
        <f>INDEX(Accounts!$C$2:$C$9,MATCH(D505,Accounts!$A$2:$A$9,0))</f>
        <v>COGS</v>
      </c>
      <c r="G505" t="s">
        <v>43</v>
      </c>
      <c r="H505" t="s">
        <v>46</v>
      </c>
      <c r="I505">
        <v>38302</v>
      </c>
    </row>
    <row r="506" spans="1:9" x14ac:dyDescent="0.3">
      <c r="A506" t="s">
        <v>692</v>
      </c>
      <c r="B506" t="s">
        <v>689</v>
      </c>
      <c r="C506">
        <f t="shared" si="7"/>
        <v>45778</v>
      </c>
      <c r="D506">
        <v>4000</v>
      </c>
      <c r="E506" t="str">
        <f>INDEX(Accounts!$B$2:$B$9,MATCH(D506,Accounts!$A$2:$A$9,0))</f>
        <v>Product Sales</v>
      </c>
      <c r="F506" t="str">
        <f>INDEX(Accounts!$C$2:$C$9,MATCH(D506,Accounts!$A$2:$A$9,0))</f>
        <v>Revenue</v>
      </c>
      <c r="G506" t="s">
        <v>48</v>
      </c>
      <c r="H506" t="s">
        <v>42</v>
      </c>
      <c r="I506">
        <v>30959</v>
      </c>
    </row>
    <row r="507" spans="1:9" x14ac:dyDescent="0.3">
      <c r="A507" t="s">
        <v>693</v>
      </c>
      <c r="B507" t="s">
        <v>694</v>
      </c>
      <c r="C507">
        <f t="shared" si="7"/>
        <v>45778</v>
      </c>
      <c r="D507">
        <v>5000</v>
      </c>
      <c r="E507" t="str">
        <f>INDEX(Accounts!$B$2:$B$9,MATCH(D507,Accounts!$A$2:$A$9,0))</f>
        <v>Cost of Goods Sold</v>
      </c>
      <c r="F507" t="str">
        <f>INDEX(Accounts!$C$2:$C$9,MATCH(D507,Accounts!$A$2:$A$9,0))</f>
        <v>COGS</v>
      </c>
      <c r="G507" t="s">
        <v>43</v>
      </c>
      <c r="H507" t="s">
        <v>46</v>
      </c>
      <c r="I507">
        <v>52613</v>
      </c>
    </row>
    <row r="508" spans="1:9" x14ac:dyDescent="0.3">
      <c r="A508" t="s">
        <v>695</v>
      </c>
      <c r="B508" t="s">
        <v>694</v>
      </c>
      <c r="C508">
        <f t="shared" si="7"/>
        <v>45778</v>
      </c>
      <c r="D508">
        <v>6100</v>
      </c>
      <c r="E508" t="str">
        <f>INDEX(Accounts!$B$2:$B$9,MATCH(D508,Accounts!$A$2:$A$9,0))</f>
        <v>Marketing Expense</v>
      </c>
      <c r="F508" t="str">
        <f>INDEX(Accounts!$C$2:$C$9,MATCH(D508,Accounts!$A$2:$A$9,0))</f>
        <v>Operating Expense</v>
      </c>
      <c r="G508" t="s">
        <v>47</v>
      </c>
      <c r="H508" t="s">
        <v>42</v>
      </c>
      <c r="I508">
        <v>16962</v>
      </c>
    </row>
    <row r="509" spans="1:9" x14ac:dyDescent="0.3">
      <c r="A509" t="s">
        <v>696</v>
      </c>
      <c r="B509" t="s">
        <v>694</v>
      </c>
      <c r="C509">
        <f t="shared" si="7"/>
        <v>45778</v>
      </c>
      <c r="D509">
        <v>6300</v>
      </c>
      <c r="E509" t="str">
        <f>INDEX(Accounts!$B$2:$B$9,MATCH(D509,Accounts!$A$2:$A$9,0))</f>
        <v>Logistics Expense</v>
      </c>
      <c r="F509" t="str">
        <f>INDEX(Accounts!$C$2:$C$9,MATCH(D509,Accounts!$A$2:$A$9,0))</f>
        <v>Operating Expense</v>
      </c>
      <c r="G509" t="s">
        <v>45</v>
      </c>
      <c r="H509" t="s">
        <v>46</v>
      </c>
      <c r="I509">
        <v>5078</v>
      </c>
    </row>
    <row r="510" spans="1:9" x14ac:dyDescent="0.3">
      <c r="A510" t="s">
        <v>697</v>
      </c>
      <c r="B510" t="s">
        <v>694</v>
      </c>
      <c r="C510">
        <f t="shared" si="7"/>
        <v>45778</v>
      </c>
      <c r="D510">
        <v>4000</v>
      </c>
      <c r="E510" t="str">
        <f>INDEX(Accounts!$B$2:$B$9,MATCH(D510,Accounts!$A$2:$A$9,0))</f>
        <v>Product Sales</v>
      </c>
      <c r="F510" t="str">
        <f>INDEX(Accounts!$C$2:$C$9,MATCH(D510,Accounts!$A$2:$A$9,0))</f>
        <v>Revenue</v>
      </c>
      <c r="G510" t="s">
        <v>43</v>
      </c>
      <c r="H510" t="s">
        <v>46</v>
      </c>
      <c r="I510">
        <v>140825</v>
      </c>
    </row>
    <row r="511" spans="1:9" x14ac:dyDescent="0.3">
      <c r="A511" t="s">
        <v>698</v>
      </c>
      <c r="B511" t="s">
        <v>699</v>
      </c>
      <c r="C511">
        <f t="shared" si="7"/>
        <v>45778</v>
      </c>
      <c r="D511">
        <v>6000</v>
      </c>
      <c r="E511" t="str">
        <f>INDEX(Accounts!$B$2:$B$9,MATCH(D511,Accounts!$A$2:$A$9,0))</f>
        <v>Salaries &amp; Wages</v>
      </c>
      <c r="F511" t="str">
        <f>INDEX(Accounts!$C$2:$C$9,MATCH(D511,Accounts!$A$2:$A$9,0))</f>
        <v>Operating Expense</v>
      </c>
      <c r="G511" t="s">
        <v>45</v>
      </c>
      <c r="H511" t="s">
        <v>44</v>
      </c>
      <c r="I511">
        <v>12762</v>
      </c>
    </row>
    <row r="512" spans="1:9" x14ac:dyDescent="0.3">
      <c r="A512" t="s">
        <v>700</v>
      </c>
      <c r="B512" t="s">
        <v>699</v>
      </c>
      <c r="C512">
        <f t="shared" si="7"/>
        <v>45778</v>
      </c>
      <c r="D512">
        <v>4000</v>
      </c>
      <c r="E512" t="str">
        <f>INDEX(Accounts!$B$2:$B$9,MATCH(D512,Accounts!$A$2:$A$9,0))</f>
        <v>Product Sales</v>
      </c>
      <c r="F512" t="str">
        <f>INDEX(Accounts!$C$2:$C$9,MATCH(D512,Accounts!$A$2:$A$9,0))</f>
        <v>Revenue</v>
      </c>
      <c r="G512" t="s">
        <v>45</v>
      </c>
      <c r="H512" t="s">
        <v>44</v>
      </c>
      <c r="I512">
        <v>46133</v>
      </c>
    </row>
    <row r="513" spans="1:9" x14ac:dyDescent="0.3">
      <c r="A513" t="s">
        <v>701</v>
      </c>
      <c r="B513" t="s">
        <v>702</v>
      </c>
      <c r="C513">
        <f t="shared" si="7"/>
        <v>45778</v>
      </c>
      <c r="D513">
        <v>6100</v>
      </c>
      <c r="E513" t="str">
        <f>INDEX(Accounts!$B$2:$B$9,MATCH(D513,Accounts!$A$2:$A$9,0))</f>
        <v>Marketing Expense</v>
      </c>
      <c r="F513" t="str">
        <f>INDEX(Accounts!$C$2:$C$9,MATCH(D513,Accounts!$A$2:$A$9,0))</f>
        <v>Operating Expense</v>
      </c>
      <c r="G513" t="s">
        <v>41</v>
      </c>
      <c r="H513" t="s">
        <v>42</v>
      </c>
      <c r="I513">
        <v>12974</v>
      </c>
    </row>
    <row r="514" spans="1:9" x14ac:dyDescent="0.3">
      <c r="A514" t="s">
        <v>703</v>
      </c>
      <c r="B514" t="s">
        <v>702</v>
      </c>
      <c r="C514">
        <f t="shared" ref="C514:C577" si="8">DATE(YEAR(B514),MONTH(B514),1)</f>
        <v>45778</v>
      </c>
      <c r="D514">
        <v>4000</v>
      </c>
      <c r="E514" t="str">
        <f>INDEX(Accounts!$B$2:$B$9,MATCH(D514,Accounts!$A$2:$A$9,0))</f>
        <v>Product Sales</v>
      </c>
      <c r="F514" t="str">
        <f>INDEX(Accounts!$C$2:$C$9,MATCH(D514,Accounts!$A$2:$A$9,0))</f>
        <v>Revenue</v>
      </c>
      <c r="G514" t="s">
        <v>48</v>
      </c>
      <c r="H514" t="s">
        <v>44</v>
      </c>
      <c r="I514">
        <v>144104</v>
      </c>
    </row>
    <row r="515" spans="1:9" x14ac:dyDescent="0.3">
      <c r="A515" t="s">
        <v>704</v>
      </c>
      <c r="B515" t="s">
        <v>702</v>
      </c>
      <c r="C515">
        <f t="shared" si="8"/>
        <v>45778</v>
      </c>
      <c r="D515">
        <v>4000</v>
      </c>
      <c r="E515" t="str">
        <f>INDEX(Accounts!$B$2:$B$9,MATCH(D515,Accounts!$A$2:$A$9,0))</f>
        <v>Product Sales</v>
      </c>
      <c r="F515" t="str">
        <f>INDEX(Accounts!$C$2:$C$9,MATCH(D515,Accounts!$A$2:$A$9,0))</f>
        <v>Revenue</v>
      </c>
      <c r="G515" t="s">
        <v>48</v>
      </c>
      <c r="H515" t="s">
        <v>44</v>
      </c>
      <c r="I515">
        <v>65156</v>
      </c>
    </row>
    <row r="516" spans="1:9" x14ac:dyDescent="0.3">
      <c r="A516" t="s">
        <v>705</v>
      </c>
      <c r="B516" t="s">
        <v>702</v>
      </c>
      <c r="C516">
        <f t="shared" si="8"/>
        <v>45778</v>
      </c>
      <c r="D516">
        <v>6100</v>
      </c>
      <c r="E516" t="str">
        <f>INDEX(Accounts!$B$2:$B$9,MATCH(D516,Accounts!$A$2:$A$9,0))</f>
        <v>Marketing Expense</v>
      </c>
      <c r="F516" t="str">
        <f>INDEX(Accounts!$C$2:$C$9,MATCH(D516,Accounts!$A$2:$A$9,0))</f>
        <v>Operating Expense</v>
      </c>
      <c r="G516" t="s">
        <v>43</v>
      </c>
      <c r="H516" t="s">
        <v>42</v>
      </c>
      <c r="I516">
        <v>11045</v>
      </c>
    </row>
    <row r="517" spans="1:9" x14ac:dyDescent="0.3">
      <c r="A517" t="s">
        <v>706</v>
      </c>
      <c r="B517" t="s">
        <v>707</v>
      </c>
      <c r="C517">
        <f t="shared" si="8"/>
        <v>45778</v>
      </c>
      <c r="D517">
        <v>6200</v>
      </c>
      <c r="E517" t="str">
        <f>INDEX(Accounts!$B$2:$B$9,MATCH(D517,Accounts!$A$2:$A$9,0))</f>
        <v>Rent &amp; Utilities</v>
      </c>
      <c r="F517" t="str">
        <f>INDEX(Accounts!$C$2:$C$9,MATCH(D517,Accounts!$A$2:$A$9,0))</f>
        <v>Operating Expense</v>
      </c>
      <c r="G517" t="s">
        <v>41</v>
      </c>
      <c r="H517" t="s">
        <v>44</v>
      </c>
      <c r="I517">
        <v>6150</v>
      </c>
    </row>
    <row r="518" spans="1:9" x14ac:dyDescent="0.3">
      <c r="A518" t="s">
        <v>708</v>
      </c>
      <c r="B518" t="s">
        <v>707</v>
      </c>
      <c r="C518">
        <f t="shared" si="8"/>
        <v>45778</v>
      </c>
      <c r="D518">
        <v>4000</v>
      </c>
      <c r="E518" t="str">
        <f>INDEX(Accounts!$B$2:$B$9,MATCH(D518,Accounts!$A$2:$A$9,0))</f>
        <v>Product Sales</v>
      </c>
      <c r="F518" t="str">
        <f>INDEX(Accounts!$C$2:$C$9,MATCH(D518,Accounts!$A$2:$A$9,0))</f>
        <v>Revenue</v>
      </c>
      <c r="G518" t="s">
        <v>43</v>
      </c>
      <c r="H518" t="s">
        <v>42</v>
      </c>
      <c r="I518">
        <v>166184</v>
      </c>
    </row>
    <row r="519" spans="1:9" x14ac:dyDescent="0.3">
      <c r="A519" t="s">
        <v>709</v>
      </c>
      <c r="B519" t="s">
        <v>707</v>
      </c>
      <c r="C519">
        <f t="shared" si="8"/>
        <v>45778</v>
      </c>
      <c r="D519">
        <v>6300</v>
      </c>
      <c r="E519" t="str">
        <f>INDEX(Accounts!$B$2:$B$9,MATCH(D519,Accounts!$A$2:$A$9,0))</f>
        <v>Logistics Expense</v>
      </c>
      <c r="F519" t="str">
        <f>INDEX(Accounts!$C$2:$C$9,MATCH(D519,Accounts!$A$2:$A$9,0))</f>
        <v>Operating Expense</v>
      </c>
      <c r="G519" t="s">
        <v>47</v>
      </c>
      <c r="H519" t="s">
        <v>44</v>
      </c>
      <c r="I519">
        <v>12158</v>
      </c>
    </row>
    <row r="520" spans="1:9" x14ac:dyDescent="0.3">
      <c r="A520" t="s">
        <v>710</v>
      </c>
      <c r="B520" t="s">
        <v>707</v>
      </c>
      <c r="C520">
        <f t="shared" si="8"/>
        <v>45778</v>
      </c>
      <c r="D520">
        <v>6000</v>
      </c>
      <c r="E520" t="str">
        <f>INDEX(Accounts!$B$2:$B$9,MATCH(D520,Accounts!$A$2:$A$9,0))</f>
        <v>Salaries &amp; Wages</v>
      </c>
      <c r="F520" t="str">
        <f>INDEX(Accounts!$C$2:$C$9,MATCH(D520,Accounts!$A$2:$A$9,0))</f>
        <v>Operating Expense</v>
      </c>
      <c r="G520" t="s">
        <v>43</v>
      </c>
      <c r="H520" t="s">
        <v>42</v>
      </c>
      <c r="I520">
        <v>32887</v>
      </c>
    </row>
    <row r="521" spans="1:9" x14ac:dyDescent="0.3">
      <c r="A521" t="s">
        <v>711</v>
      </c>
      <c r="B521" t="s">
        <v>707</v>
      </c>
      <c r="C521">
        <f t="shared" si="8"/>
        <v>45778</v>
      </c>
      <c r="D521">
        <v>6300</v>
      </c>
      <c r="E521" t="str">
        <f>INDEX(Accounts!$B$2:$B$9,MATCH(D521,Accounts!$A$2:$A$9,0))</f>
        <v>Logistics Expense</v>
      </c>
      <c r="F521" t="str">
        <f>INDEX(Accounts!$C$2:$C$9,MATCH(D521,Accounts!$A$2:$A$9,0))</f>
        <v>Operating Expense</v>
      </c>
      <c r="G521" t="s">
        <v>41</v>
      </c>
      <c r="H521" t="s">
        <v>46</v>
      </c>
      <c r="I521">
        <v>7939</v>
      </c>
    </row>
    <row r="522" spans="1:9" x14ac:dyDescent="0.3">
      <c r="A522" t="s">
        <v>712</v>
      </c>
      <c r="B522" t="s">
        <v>707</v>
      </c>
      <c r="C522">
        <f t="shared" si="8"/>
        <v>45778</v>
      </c>
      <c r="D522">
        <v>6000</v>
      </c>
      <c r="E522" t="str">
        <f>INDEX(Accounts!$B$2:$B$9,MATCH(D522,Accounts!$A$2:$A$9,0))</f>
        <v>Salaries &amp; Wages</v>
      </c>
      <c r="F522" t="str">
        <f>INDEX(Accounts!$C$2:$C$9,MATCH(D522,Accounts!$A$2:$A$9,0))</f>
        <v>Operating Expense</v>
      </c>
      <c r="G522" t="s">
        <v>43</v>
      </c>
      <c r="H522" t="s">
        <v>42</v>
      </c>
      <c r="I522">
        <v>16285</v>
      </c>
    </row>
    <row r="523" spans="1:9" x14ac:dyDescent="0.3">
      <c r="A523" t="s">
        <v>713</v>
      </c>
      <c r="B523" t="s">
        <v>714</v>
      </c>
      <c r="C523">
        <f t="shared" si="8"/>
        <v>45778</v>
      </c>
      <c r="D523">
        <v>6200</v>
      </c>
      <c r="E523" t="str">
        <f>INDEX(Accounts!$B$2:$B$9,MATCH(D523,Accounts!$A$2:$A$9,0))</f>
        <v>Rent &amp; Utilities</v>
      </c>
      <c r="F523" t="str">
        <f>INDEX(Accounts!$C$2:$C$9,MATCH(D523,Accounts!$A$2:$A$9,0))</f>
        <v>Operating Expense</v>
      </c>
      <c r="G523" t="s">
        <v>45</v>
      </c>
      <c r="H523" t="s">
        <v>44</v>
      </c>
      <c r="I523">
        <v>7169</v>
      </c>
    </row>
    <row r="524" spans="1:9" x14ac:dyDescent="0.3">
      <c r="A524" t="s">
        <v>715</v>
      </c>
      <c r="B524" t="s">
        <v>714</v>
      </c>
      <c r="C524">
        <f t="shared" si="8"/>
        <v>45778</v>
      </c>
      <c r="D524">
        <v>5000</v>
      </c>
      <c r="E524" t="str">
        <f>INDEX(Accounts!$B$2:$B$9,MATCH(D524,Accounts!$A$2:$A$9,0))</f>
        <v>Cost of Goods Sold</v>
      </c>
      <c r="F524" t="str">
        <f>INDEX(Accounts!$C$2:$C$9,MATCH(D524,Accounts!$A$2:$A$9,0))</f>
        <v>COGS</v>
      </c>
      <c r="G524" t="s">
        <v>41</v>
      </c>
      <c r="H524" t="s">
        <v>46</v>
      </c>
      <c r="I524">
        <v>34957</v>
      </c>
    </row>
    <row r="525" spans="1:9" x14ac:dyDescent="0.3">
      <c r="A525" t="s">
        <v>716</v>
      </c>
      <c r="B525" t="s">
        <v>717</v>
      </c>
      <c r="C525">
        <f t="shared" si="8"/>
        <v>45778</v>
      </c>
      <c r="D525">
        <v>4000</v>
      </c>
      <c r="E525" t="str">
        <f>INDEX(Accounts!$B$2:$B$9,MATCH(D525,Accounts!$A$2:$A$9,0))</f>
        <v>Product Sales</v>
      </c>
      <c r="F525" t="str">
        <f>INDEX(Accounts!$C$2:$C$9,MATCH(D525,Accounts!$A$2:$A$9,0))</f>
        <v>Revenue</v>
      </c>
      <c r="G525" t="s">
        <v>48</v>
      </c>
      <c r="H525" t="s">
        <v>44</v>
      </c>
      <c r="I525">
        <v>121349</v>
      </c>
    </row>
    <row r="526" spans="1:9" x14ac:dyDescent="0.3">
      <c r="A526" t="s">
        <v>718</v>
      </c>
      <c r="B526" t="s">
        <v>717</v>
      </c>
      <c r="C526">
        <f t="shared" si="8"/>
        <v>45778</v>
      </c>
      <c r="D526">
        <v>5000</v>
      </c>
      <c r="E526" t="str">
        <f>INDEX(Accounts!$B$2:$B$9,MATCH(D526,Accounts!$A$2:$A$9,0))</f>
        <v>Cost of Goods Sold</v>
      </c>
      <c r="F526" t="str">
        <f>INDEX(Accounts!$C$2:$C$9,MATCH(D526,Accounts!$A$2:$A$9,0))</f>
        <v>COGS</v>
      </c>
      <c r="G526" t="s">
        <v>41</v>
      </c>
      <c r="H526" t="s">
        <v>44</v>
      </c>
      <c r="I526">
        <v>20050</v>
      </c>
    </row>
    <row r="527" spans="1:9" x14ac:dyDescent="0.3">
      <c r="A527" t="s">
        <v>719</v>
      </c>
      <c r="B527" t="s">
        <v>720</v>
      </c>
      <c r="C527">
        <f t="shared" si="8"/>
        <v>45778</v>
      </c>
      <c r="D527">
        <v>5000</v>
      </c>
      <c r="E527" t="str">
        <f>INDEX(Accounts!$B$2:$B$9,MATCH(D527,Accounts!$A$2:$A$9,0))</f>
        <v>Cost of Goods Sold</v>
      </c>
      <c r="F527" t="str">
        <f>INDEX(Accounts!$C$2:$C$9,MATCH(D527,Accounts!$A$2:$A$9,0))</f>
        <v>COGS</v>
      </c>
      <c r="G527" t="s">
        <v>41</v>
      </c>
      <c r="H527" t="s">
        <v>44</v>
      </c>
      <c r="I527">
        <v>19092</v>
      </c>
    </row>
    <row r="528" spans="1:9" x14ac:dyDescent="0.3">
      <c r="A528" t="s">
        <v>721</v>
      </c>
      <c r="B528" t="s">
        <v>722</v>
      </c>
      <c r="C528">
        <f t="shared" si="8"/>
        <v>45778</v>
      </c>
      <c r="D528">
        <v>6000</v>
      </c>
      <c r="E528" t="str">
        <f>INDEX(Accounts!$B$2:$B$9,MATCH(D528,Accounts!$A$2:$A$9,0))</f>
        <v>Salaries &amp; Wages</v>
      </c>
      <c r="F528" t="str">
        <f>INDEX(Accounts!$C$2:$C$9,MATCH(D528,Accounts!$A$2:$A$9,0))</f>
        <v>Operating Expense</v>
      </c>
      <c r="G528" t="s">
        <v>41</v>
      </c>
      <c r="H528" t="s">
        <v>42</v>
      </c>
      <c r="I528">
        <v>24120</v>
      </c>
    </row>
    <row r="529" spans="1:9" x14ac:dyDescent="0.3">
      <c r="A529" t="s">
        <v>723</v>
      </c>
      <c r="B529" t="s">
        <v>722</v>
      </c>
      <c r="C529">
        <f t="shared" si="8"/>
        <v>45778</v>
      </c>
      <c r="D529">
        <v>4100</v>
      </c>
      <c r="E529" t="str">
        <f>INDEX(Accounts!$B$2:$B$9,MATCH(D529,Accounts!$A$2:$A$9,0))</f>
        <v>Sales Returns &amp; Discounts</v>
      </c>
      <c r="F529" t="str">
        <f>INDEX(Accounts!$C$2:$C$9,MATCH(D529,Accounts!$A$2:$A$9,0))</f>
        <v>Contra Revenue</v>
      </c>
      <c r="G529" t="s">
        <v>41</v>
      </c>
      <c r="H529" t="s">
        <v>46</v>
      </c>
      <c r="I529">
        <v>9011</v>
      </c>
    </row>
    <row r="530" spans="1:9" x14ac:dyDescent="0.3">
      <c r="A530" t="s">
        <v>724</v>
      </c>
      <c r="B530" t="s">
        <v>722</v>
      </c>
      <c r="C530">
        <f t="shared" si="8"/>
        <v>45778</v>
      </c>
      <c r="D530">
        <v>4000</v>
      </c>
      <c r="E530" t="str">
        <f>INDEX(Accounts!$B$2:$B$9,MATCH(D530,Accounts!$A$2:$A$9,0))</f>
        <v>Product Sales</v>
      </c>
      <c r="F530" t="str">
        <f>INDEX(Accounts!$C$2:$C$9,MATCH(D530,Accounts!$A$2:$A$9,0))</f>
        <v>Revenue</v>
      </c>
      <c r="G530" t="s">
        <v>45</v>
      </c>
      <c r="H530" t="s">
        <v>46</v>
      </c>
      <c r="I530">
        <v>131296</v>
      </c>
    </row>
    <row r="531" spans="1:9" x14ac:dyDescent="0.3">
      <c r="A531" t="s">
        <v>725</v>
      </c>
      <c r="B531" t="s">
        <v>722</v>
      </c>
      <c r="C531">
        <f t="shared" si="8"/>
        <v>45778</v>
      </c>
      <c r="D531">
        <v>4000</v>
      </c>
      <c r="E531" t="str">
        <f>INDEX(Accounts!$B$2:$B$9,MATCH(D531,Accounts!$A$2:$A$9,0))</f>
        <v>Product Sales</v>
      </c>
      <c r="F531" t="str">
        <f>INDEX(Accounts!$C$2:$C$9,MATCH(D531,Accounts!$A$2:$A$9,0))</f>
        <v>Revenue</v>
      </c>
      <c r="G531" t="s">
        <v>45</v>
      </c>
      <c r="H531" t="s">
        <v>42</v>
      </c>
      <c r="I531">
        <v>162758</v>
      </c>
    </row>
    <row r="532" spans="1:9" x14ac:dyDescent="0.3">
      <c r="A532" t="s">
        <v>726</v>
      </c>
      <c r="B532" t="s">
        <v>722</v>
      </c>
      <c r="C532">
        <f t="shared" si="8"/>
        <v>45778</v>
      </c>
      <c r="D532">
        <v>6000</v>
      </c>
      <c r="E532" t="str">
        <f>INDEX(Accounts!$B$2:$B$9,MATCH(D532,Accounts!$A$2:$A$9,0))</f>
        <v>Salaries &amp; Wages</v>
      </c>
      <c r="F532" t="str">
        <f>INDEX(Accounts!$C$2:$C$9,MATCH(D532,Accounts!$A$2:$A$9,0))</f>
        <v>Operating Expense</v>
      </c>
      <c r="G532" t="s">
        <v>41</v>
      </c>
      <c r="H532" t="s">
        <v>42</v>
      </c>
      <c r="I532">
        <v>14854</v>
      </c>
    </row>
    <row r="533" spans="1:9" x14ac:dyDescent="0.3">
      <c r="A533" t="s">
        <v>727</v>
      </c>
      <c r="B533" t="s">
        <v>722</v>
      </c>
      <c r="C533">
        <f t="shared" si="8"/>
        <v>45778</v>
      </c>
      <c r="D533">
        <v>4000</v>
      </c>
      <c r="E533" t="str">
        <f>INDEX(Accounts!$B$2:$B$9,MATCH(D533,Accounts!$A$2:$A$9,0))</f>
        <v>Product Sales</v>
      </c>
      <c r="F533" t="str">
        <f>INDEX(Accounts!$C$2:$C$9,MATCH(D533,Accounts!$A$2:$A$9,0))</f>
        <v>Revenue</v>
      </c>
      <c r="G533" t="s">
        <v>41</v>
      </c>
      <c r="H533" t="s">
        <v>46</v>
      </c>
      <c r="I533">
        <v>85668</v>
      </c>
    </row>
    <row r="534" spans="1:9" x14ac:dyDescent="0.3">
      <c r="A534" t="s">
        <v>728</v>
      </c>
      <c r="B534" t="s">
        <v>729</v>
      </c>
      <c r="C534">
        <f t="shared" si="8"/>
        <v>45778</v>
      </c>
      <c r="D534">
        <v>6000</v>
      </c>
      <c r="E534" t="str">
        <f>INDEX(Accounts!$B$2:$B$9,MATCH(D534,Accounts!$A$2:$A$9,0))</f>
        <v>Salaries &amp; Wages</v>
      </c>
      <c r="F534" t="str">
        <f>INDEX(Accounts!$C$2:$C$9,MATCH(D534,Accounts!$A$2:$A$9,0))</f>
        <v>Operating Expense</v>
      </c>
      <c r="G534" t="s">
        <v>45</v>
      </c>
      <c r="H534" t="s">
        <v>42</v>
      </c>
      <c r="I534">
        <v>12886</v>
      </c>
    </row>
    <row r="535" spans="1:9" x14ac:dyDescent="0.3">
      <c r="A535" t="s">
        <v>730</v>
      </c>
      <c r="B535" t="s">
        <v>731</v>
      </c>
      <c r="C535">
        <f t="shared" si="8"/>
        <v>45778</v>
      </c>
      <c r="D535">
        <v>5000</v>
      </c>
      <c r="E535" t="str">
        <f>INDEX(Accounts!$B$2:$B$9,MATCH(D535,Accounts!$A$2:$A$9,0))</f>
        <v>Cost of Goods Sold</v>
      </c>
      <c r="F535" t="str">
        <f>INDEX(Accounts!$C$2:$C$9,MATCH(D535,Accounts!$A$2:$A$9,0))</f>
        <v>COGS</v>
      </c>
      <c r="G535" t="s">
        <v>45</v>
      </c>
      <c r="H535" t="s">
        <v>42</v>
      </c>
      <c r="I535">
        <v>27035</v>
      </c>
    </row>
    <row r="536" spans="1:9" x14ac:dyDescent="0.3">
      <c r="A536" t="s">
        <v>732</v>
      </c>
      <c r="B536" t="s">
        <v>731</v>
      </c>
      <c r="C536">
        <f t="shared" si="8"/>
        <v>45778</v>
      </c>
      <c r="D536">
        <v>5000</v>
      </c>
      <c r="E536" t="str">
        <f>INDEX(Accounts!$B$2:$B$9,MATCH(D536,Accounts!$A$2:$A$9,0))</f>
        <v>Cost of Goods Sold</v>
      </c>
      <c r="F536" t="str">
        <f>INDEX(Accounts!$C$2:$C$9,MATCH(D536,Accounts!$A$2:$A$9,0))</f>
        <v>COGS</v>
      </c>
      <c r="G536" t="s">
        <v>43</v>
      </c>
      <c r="H536" t="s">
        <v>46</v>
      </c>
      <c r="I536">
        <v>65166</v>
      </c>
    </row>
    <row r="537" spans="1:9" x14ac:dyDescent="0.3">
      <c r="A537" t="s">
        <v>733</v>
      </c>
      <c r="B537" t="s">
        <v>731</v>
      </c>
      <c r="C537">
        <f t="shared" si="8"/>
        <v>45778</v>
      </c>
      <c r="D537">
        <v>5000</v>
      </c>
      <c r="E537" t="str">
        <f>INDEX(Accounts!$B$2:$B$9,MATCH(D537,Accounts!$A$2:$A$9,0))</f>
        <v>Cost of Goods Sold</v>
      </c>
      <c r="F537" t="str">
        <f>INDEX(Accounts!$C$2:$C$9,MATCH(D537,Accounts!$A$2:$A$9,0))</f>
        <v>COGS</v>
      </c>
      <c r="G537" t="s">
        <v>43</v>
      </c>
      <c r="H537" t="s">
        <v>44</v>
      </c>
      <c r="I537">
        <v>51860</v>
      </c>
    </row>
    <row r="538" spans="1:9" x14ac:dyDescent="0.3">
      <c r="A538" t="s">
        <v>734</v>
      </c>
      <c r="B538" t="s">
        <v>731</v>
      </c>
      <c r="C538">
        <f t="shared" si="8"/>
        <v>45778</v>
      </c>
      <c r="D538">
        <v>4000</v>
      </c>
      <c r="E538" t="str">
        <f>INDEX(Accounts!$B$2:$B$9,MATCH(D538,Accounts!$A$2:$A$9,0))</f>
        <v>Product Sales</v>
      </c>
      <c r="F538" t="str">
        <f>INDEX(Accounts!$C$2:$C$9,MATCH(D538,Accounts!$A$2:$A$9,0))</f>
        <v>Revenue</v>
      </c>
      <c r="G538" t="s">
        <v>41</v>
      </c>
      <c r="H538" t="s">
        <v>42</v>
      </c>
      <c r="I538">
        <v>36872</v>
      </c>
    </row>
    <row r="539" spans="1:9" x14ac:dyDescent="0.3">
      <c r="A539" t="s">
        <v>735</v>
      </c>
      <c r="B539" t="s">
        <v>731</v>
      </c>
      <c r="C539">
        <f t="shared" si="8"/>
        <v>45778</v>
      </c>
      <c r="D539">
        <v>4000</v>
      </c>
      <c r="E539" t="str">
        <f>INDEX(Accounts!$B$2:$B$9,MATCH(D539,Accounts!$A$2:$A$9,0))</f>
        <v>Product Sales</v>
      </c>
      <c r="F539" t="str">
        <f>INDEX(Accounts!$C$2:$C$9,MATCH(D539,Accounts!$A$2:$A$9,0))</f>
        <v>Revenue</v>
      </c>
      <c r="G539" t="s">
        <v>43</v>
      </c>
      <c r="H539" t="s">
        <v>46</v>
      </c>
      <c r="I539">
        <v>113490</v>
      </c>
    </row>
    <row r="540" spans="1:9" x14ac:dyDescent="0.3">
      <c r="A540" t="s">
        <v>736</v>
      </c>
      <c r="B540" t="s">
        <v>737</v>
      </c>
      <c r="C540">
        <f t="shared" si="8"/>
        <v>45778</v>
      </c>
      <c r="D540">
        <v>6100</v>
      </c>
      <c r="E540" t="str">
        <f>INDEX(Accounts!$B$2:$B$9,MATCH(D540,Accounts!$A$2:$A$9,0))</f>
        <v>Marketing Expense</v>
      </c>
      <c r="F540" t="str">
        <f>INDEX(Accounts!$C$2:$C$9,MATCH(D540,Accounts!$A$2:$A$9,0))</f>
        <v>Operating Expense</v>
      </c>
      <c r="G540" t="s">
        <v>47</v>
      </c>
      <c r="H540" t="s">
        <v>42</v>
      </c>
      <c r="I540">
        <v>11214</v>
      </c>
    </row>
    <row r="541" spans="1:9" x14ac:dyDescent="0.3">
      <c r="A541" t="s">
        <v>738</v>
      </c>
      <c r="B541" t="s">
        <v>737</v>
      </c>
      <c r="C541">
        <f t="shared" si="8"/>
        <v>45778</v>
      </c>
      <c r="D541">
        <v>5000</v>
      </c>
      <c r="E541" t="str">
        <f>INDEX(Accounts!$B$2:$B$9,MATCH(D541,Accounts!$A$2:$A$9,0))</f>
        <v>Cost of Goods Sold</v>
      </c>
      <c r="F541" t="str">
        <f>INDEX(Accounts!$C$2:$C$9,MATCH(D541,Accounts!$A$2:$A$9,0))</f>
        <v>COGS</v>
      </c>
      <c r="G541" t="s">
        <v>43</v>
      </c>
      <c r="H541" t="s">
        <v>42</v>
      </c>
      <c r="I541">
        <v>11377</v>
      </c>
    </row>
    <row r="542" spans="1:9" x14ac:dyDescent="0.3">
      <c r="A542" t="s">
        <v>739</v>
      </c>
      <c r="B542" t="s">
        <v>740</v>
      </c>
      <c r="C542">
        <f t="shared" si="8"/>
        <v>45778</v>
      </c>
      <c r="D542">
        <v>6000</v>
      </c>
      <c r="E542" t="str">
        <f>INDEX(Accounts!$B$2:$B$9,MATCH(D542,Accounts!$A$2:$A$9,0))</f>
        <v>Salaries &amp; Wages</v>
      </c>
      <c r="F542" t="str">
        <f>INDEX(Accounts!$C$2:$C$9,MATCH(D542,Accounts!$A$2:$A$9,0))</f>
        <v>Operating Expense</v>
      </c>
      <c r="G542" t="s">
        <v>45</v>
      </c>
      <c r="H542" t="s">
        <v>42</v>
      </c>
      <c r="I542">
        <v>8283</v>
      </c>
    </row>
    <row r="543" spans="1:9" x14ac:dyDescent="0.3">
      <c r="A543" t="s">
        <v>741</v>
      </c>
      <c r="B543" t="s">
        <v>740</v>
      </c>
      <c r="C543">
        <f t="shared" si="8"/>
        <v>45778</v>
      </c>
      <c r="D543">
        <v>5000</v>
      </c>
      <c r="E543" t="str">
        <f>INDEX(Accounts!$B$2:$B$9,MATCH(D543,Accounts!$A$2:$A$9,0))</f>
        <v>Cost of Goods Sold</v>
      </c>
      <c r="F543" t="str">
        <f>INDEX(Accounts!$C$2:$C$9,MATCH(D543,Accounts!$A$2:$A$9,0))</f>
        <v>COGS</v>
      </c>
      <c r="G543" t="s">
        <v>47</v>
      </c>
      <c r="H543" t="s">
        <v>44</v>
      </c>
      <c r="I543">
        <v>16647</v>
      </c>
    </row>
    <row r="544" spans="1:9" x14ac:dyDescent="0.3">
      <c r="A544" t="s">
        <v>742</v>
      </c>
      <c r="B544" t="s">
        <v>740</v>
      </c>
      <c r="C544">
        <f t="shared" si="8"/>
        <v>45778</v>
      </c>
      <c r="D544">
        <v>4000</v>
      </c>
      <c r="E544" t="str">
        <f>INDEX(Accounts!$B$2:$B$9,MATCH(D544,Accounts!$A$2:$A$9,0))</f>
        <v>Product Sales</v>
      </c>
      <c r="F544" t="str">
        <f>INDEX(Accounts!$C$2:$C$9,MATCH(D544,Accounts!$A$2:$A$9,0))</f>
        <v>Revenue</v>
      </c>
      <c r="G544" t="s">
        <v>48</v>
      </c>
      <c r="H544" t="s">
        <v>42</v>
      </c>
      <c r="I544">
        <v>100259</v>
      </c>
    </row>
    <row r="545" spans="1:9" x14ac:dyDescent="0.3">
      <c r="A545" t="s">
        <v>743</v>
      </c>
      <c r="B545" t="s">
        <v>744</v>
      </c>
      <c r="C545">
        <f t="shared" si="8"/>
        <v>45778</v>
      </c>
      <c r="D545">
        <v>4000</v>
      </c>
      <c r="E545" t="str">
        <f>INDEX(Accounts!$B$2:$B$9,MATCH(D545,Accounts!$A$2:$A$9,0))</f>
        <v>Product Sales</v>
      </c>
      <c r="F545" t="str">
        <f>INDEX(Accounts!$C$2:$C$9,MATCH(D545,Accounts!$A$2:$A$9,0))</f>
        <v>Revenue</v>
      </c>
      <c r="G545" t="s">
        <v>47</v>
      </c>
      <c r="H545" t="s">
        <v>42</v>
      </c>
      <c r="I545">
        <v>34526</v>
      </c>
    </row>
    <row r="546" spans="1:9" x14ac:dyDescent="0.3">
      <c r="A546" t="s">
        <v>745</v>
      </c>
      <c r="B546" t="s">
        <v>744</v>
      </c>
      <c r="C546">
        <f t="shared" si="8"/>
        <v>45778</v>
      </c>
      <c r="D546">
        <v>4100</v>
      </c>
      <c r="E546" t="str">
        <f>INDEX(Accounts!$B$2:$B$9,MATCH(D546,Accounts!$A$2:$A$9,0))</f>
        <v>Sales Returns &amp; Discounts</v>
      </c>
      <c r="F546" t="str">
        <f>INDEX(Accounts!$C$2:$C$9,MATCH(D546,Accounts!$A$2:$A$9,0))</f>
        <v>Contra Revenue</v>
      </c>
      <c r="G546" t="s">
        <v>41</v>
      </c>
      <c r="H546" t="s">
        <v>44</v>
      </c>
      <c r="I546">
        <v>10305</v>
      </c>
    </row>
    <row r="547" spans="1:9" x14ac:dyDescent="0.3">
      <c r="A547" t="s">
        <v>746</v>
      </c>
      <c r="B547" t="s">
        <v>747</v>
      </c>
      <c r="C547">
        <f t="shared" si="8"/>
        <v>45778</v>
      </c>
      <c r="D547">
        <v>4000</v>
      </c>
      <c r="E547" t="str">
        <f>INDEX(Accounts!$B$2:$B$9,MATCH(D547,Accounts!$A$2:$A$9,0))</f>
        <v>Product Sales</v>
      </c>
      <c r="F547" t="str">
        <f>INDEX(Accounts!$C$2:$C$9,MATCH(D547,Accounts!$A$2:$A$9,0))</f>
        <v>Revenue</v>
      </c>
      <c r="G547" t="s">
        <v>43</v>
      </c>
      <c r="H547" t="s">
        <v>42</v>
      </c>
      <c r="I547">
        <v>103017</v>
      </c>
    </row>
    <row r="548" spans="1:9" x14ac:dyDescent="0.3">
      <c r="A548" t="s">
        <v>748</v>
      </c>
      <c r="B548" t="s">
        <v>747</v>
      </c>
      <c r="C548">
        <f t="shared" si="8"/>
        <v>45778</v>
      </c>
      <c r="D548">
        <v>6000</v>
      </c>
      <c r="E548" t="str">
        <f>INDEX(Accounts!$B$2:$B$9,MATCH(D548,Accounts!$A$2:$A$9,0))</f>
        <v>Salaries &amp; Wages</v>
      </c>
      <c r="F548" t="str">
        <f>INDEX(Accounts!$C$2:$C$9,MATCH(D548,Accounts!$A$2:$A$9,0))</f>
        <v>Operating Expense</v>
      </c>
      <c r="G548" t="s">
        <v>43</v>
      </c>
      <c r="H548" t="s">
        <v>46</v>
      </c>
      <c r="I548">
        <v>15444</v>
      </c>
    </row>
    <row r="549" spans="1:9" x14ac:dyDescent="0.3">
      <c r="A549" t="s">
        <v>749</v>
      </c>
      <c r="B549" t="s">
        <v>747</v>
      </c>
      <c r="C549">
        <f t="shared" si="8"/>
        <v>45778</v>
      </c>
      <c r="D549">
        <v>6300</v>
      </c>
      <c r="E549" t="str">
        <f>INDEX(Accounts!$B$2:$B$9,MATCH(D549,Accounts!$A$2:$A$9,0))</f>
        <v>Logistics Expense</v>
      </c>
      <c r="F549" t="str">
        <f>INDEX(Accounts!$C$2:$C$9,MATCH(D549,Accounts!$A$2:$A$9,0))</f>
        <v>Operating Expense</v>
      </c>
      <c r="G549" t="s">
        <v>41</v>
      </c>
      <c r="H549" t="s">
        <v>42</v>
      </c>
      <c r="I549">
        <v>13648</v>
      </c>
    </row>
    <row r="550" spans="1:9" x14ac:dyDescent="0.3">
      <c r="A550" t="s">
        <v>750</v>
      </c>
      <c r="B550" t="s">
        <v>747</v>
      </c>
      <c r="C550">
        <f t="shared" si="8"/>
        <v>45778</v>
      </c>
      <c r="D550">
        <v>4000</v>
      </c>
      <c r="E550" t="str">
        <f>INDEX(Accounts!$B$2:$B$9,MATCH(D550,Accounts!$A$2:$A$9,0))</f>
        <v>Product Sales</v>
      </c>
      <c r="F550" t="str">
        <f>INDEX(Accounts!$C$2:$C$9,MATCH(D550,Accounts!$A$2:$A$9,0))</f>
        <v>Revenue</v>
      </c>
      <c r="G550" t="s">
        <v>41</v>
      </c>
      <c r="H550" t="s">
        <v>42</v>
      </c>
      <c r="I550">
        <v>37717</v>
      </c>
    </row>
    <row r="551" spans="1:9" x14ac:dyDescent="0.3">
      <c r="A551" t="s">
        <v>751</v>
      </c>
      <c r="B551" t="s">
        <v>747</v>
      </c>
      <c r="C551">
        <f t="shared" si="8"/>
        <v>45778</v>
      </c>
      <c r="D551">
        <v>6300</v>
      </c>
      <c r="E551" t="str">
        <f>INDEX(Accounts!$B$2:$B$9,MATCH(D551,Accounts!$A$2:$A$9,0))</f>
        <v>Logistics Expense</v>
      </c>
      <c r="F551" t="str">
        <f>INDEX(Accounts!$C$2:$C$9,MATCH(D551,Accounts!$A$2:$A$9,0))</f>
        <v>Operating Expense</v>
      </c>
      <c r="G551" t="s">
        <v>41</v>
      </c>
      <c r="H551" t="s">
        <v>42</v>
      </c>
      <c r="I551">
        <v>10091</v>
      </c>
    </row>
    <row r="552" spans="1:9" x14ac:dyDescent="0.3">
      <c r="A552" t="s">
        <v>752</v>
      </c>
      <c r="B552" t="s">
        <v>753</v>
      </c>
      <c r="C552">
        <f t="shared" si="8"/>
        <v>45809</v>
      </c>
      <c r="D552">
        <v>6100</v>
      </c>
      <c r="E552" t="str">
        <f>INDEX(Accounts!$B$2:$B$9,MATCH(D552,Accounts!$A$2:$A$9,0))</f>
        <v>Marketing Expense</v>
      </c>
      <c r="F552" t="str">
        <f>INDEX(Accounts!$C$2:$C$9,MATCH(D552,Accounts!$A$2:$A$9,0))</f>
        <v>Operating Expense</v>
      </c>
      <c r="G552" t="s">
        <v>41</v>
      </c>
      <c r="H552" t="s">
        <v>44</v>
      </c>
      <c r="I552">
        <v>12566</v>
      </c>
    </row>
    <row r="553" spans="1:9" x14ac:dyDescent="0.3">
      <c r="A553" t="s">
        <v>754</v>
      </c>
      <c r="B553" t="s">
        <v>753</v>
      </c>
      <c r="C553">
        <f t="shared" si="8"/>
        <v>45809</v>
      </c>
      <c r="D553">
        <v>4000</v>
      </c>
      <c r="E553" t="str">
        <f>INDEX(Accounts!$B$2:$B$9,MATCH(D553,Accounts!$A$2:$A$9,0))</f>
        <v>Product Sales</v>
      </c>
      <c r="F553" t="str">
        <f>INDEX(Accounts!$C$2:$C$9,MATCH(D553,Accounts!$A$2:$A$9,0))</f>
        <v>Revenue</v>
      </c>
      <c r="G553" t="s">
        <v>43</v>
      </c>
      <c r="H553" t="s">
        <v>46</v>
      </c>
      <c r="I553">
        <v>110047</v>
      </c>
    </row>
    <row r="554" spans="1:9" x14ac:dyDescent="0.3">
      <c r="A554" t="s">
        <v>755</v>
      </c>
      <c r="B554" t="s">
        <v>756</v>
      </c>
      <c r="C554">
        <f t="shared" si="8"/>
        <v>45809</v>
      </c>
      <c r="D554">
        <v>6000</v>
      </c>
      <c r="E554" t="str">
        <f>INDEX(Accounts!$B$2:$B$9,MATCH(D554,Accounts!$A$2:$A$9,0))</f>
        <v>Salaries &amp; Wages</v>
      </c>
      <c r="F554" t="str">
        <f>INDEX(Accounts!$C$2:$C$9,MATCH(D554,Accounts!$A$2:$A$9,0))</f>
        <v>Operating Expense</v>
      </c>
      <c r="G554" t="s">
        <v>43</v>
      </c>
      <c r="H554" t="s">
        <v>46</v>
      </c>
      <c r="I554">
        <v>22654</v>
      </c>
    </row>
    <row r="555" spans="1:9" x14ac:dyDescent="0.3">
      <c r="A555" t="s">
        <v>757</v>
      </c>
      <c r="B555" t="s">
        <v>756</v>
      </c>
      <c r="C555">
        <f t="shared" si="8"/>
        <v>45809</v>
      </c>
      <c r="D555">
        <v>5000</v>
      </c>
      <c r="E555" t="str">
        <f>INDEX(Accounts!$B$2:$B$9,MATCH(D555,Accounts!$A$2:$A$9,0))</f>
        <v>Cost of Goods Sold</v>
      </c>
      <c r="F555" t="str">
        <f>INDEX(Accounts!$C$2:$C$9,MATCH(D555,Accounts!$A$2:$A$9,0))</f>
        <v>COGS</v>
      </c>
      <c r="G555" t="s">
        <v>41</v>
      </c>
      <c r="H555" t="s">
        <v>46</v>
      </c>
      <c r="I555">
        <v>57494</v>
      </c>
    </row>
    <row r="556" spans="1:9" x14ac:dyDescent="0.3">
      <c r="A556" t="s">
        <v>758</v>
      </c>
      <c r="B556" t="s">
        <v>759</v>
      </c>
      <c r="C556">
        <f t="shared" si="8"/>
        <v>45809</v>
      </c>
      <c r="D556">
        <v>5000</v>
      </c>
      <c r="E556" t="str">
        <f>INDEX(Accounts!$B$2:$B$9,MATCH(D556,Accounts!$A$2:$A$9,0))</f>
        <v>Cost of Goods Sold</v>
      </c>
      <c r="F556" t="str">
        <f>INDEX(Accounts!$C$2:$C$9,MATCH(D556,Accounts!$A$2:$A$9,0))</f>
        <v>COGS</v>
      </c>
      <c r="G556" t="s">
        <v>48</v>
      </c>
      <c r="H556" t="s">
        <v>42</v>
      </c>
      <c r="I556">
        <v>14401</v>
      </c>
    </row>
    <row r="557" spans="1:9" x14ac:dyDescent="0.3">
      <c r="A557" t="s">
        <v>760</v>
      </c>
      <c r="B557" t="s">
        <v>759</v>
      </c>
      <c r="C557">
        <f t="shared" si="8"/>
        <v>45809</v>
      </c>
      <c r="D557">
        <v>6100</v>
      </c>
      <c r="E557" t="str">
        <f>INDEX(Accounts!$B$2:$B$9,MATCH(D557,Accounts!$A$2:$A$9,0))</f>
        <v>Marketing Expense</v>
      </c>
      <c r="F557" t="str">
        <f>INDEX(Accounts!$C$2:$C$9,MATCH(D557,Accounts!$A$2:$A$9,0))</f>
        <v>Operating Expense</v>
      </c>
      <c r="G557" t="s">
        <v>43</v>
      </c>
      <c r="H557" t="s">
        <v>42</v>
      </c>
      <c r="I557">
        <v>11370</v>
      </c>
    </row>
    <row r="558" spans="1:9" x14ac:dyDescent="0.3">
      <c r="A558" t="s">
        <v>761</v>
      </c>
      <c r="B558" t="s">
        <v>759</v>
      </c>
      <c r="C558">
        <f t="shared" si="8"/>
        <v>45809</v>
      </c>
      <c r="D558">
        <v>6000</v>
      </c>
      <c r="E558" t="str">
        <f>INDEX(Accounts!$B$2:$B$9,MATCH(D558,Accounts!$A$2:$A$9,0))</f>
        <v>Salaries &amp; Wages</v>
      </c>
      <c r="F558" t="str">
        <f>INDEX(Accounts!$C$2:$C$9,MATCH(D558,Accounts!$A$2:$A$9,0))</f>
        <v>Operating Expense</v>
      </c>
      <c r="G558" t="s">
        <v>41</v>
      </c>
      <c r="H558" t="s">
        <v>42</v>
      </c>
      <c r="I558">
        <v>15006</v>
      </c>
    </row>
    <row r="559" spans="1:9" x14ac:dyDescent="0.3">
      <c r="A559" t="s">
        <v>762</v>
      </c>
      <c r="B559" t="s">
        <v>763</v>
      </c>
      <c r="C559">
        <f t="shared" si="8"/>
        <v>45809</v>
      </c>
      <c r="D559">
        <v>6300</v>
      </c>
      <c r="E559" t="str">
        <f>INDEX(Accounts!$B$2:$B$9,MATCH(D559,Accounts!$A$2:$A$9,0))</f>
        <v>Logistics Expense</v>
      </c>
      <c r="F559" t="str">
        <f>INDEX(Accounts!$C$2:$C$9,MATCH(D559,Accounts!$A$2:$A$9,0))</f>
        <v>Operating Expense</v>
      </c>
      <c r="G559" t="s">
        <v>41</v>
      </c>
      <c r="H559" t="s">
        <v>46</v>
      </c>
      <c r="I559">
        <v>4447</v>
      </c>
    </row>
    <row r="560" spans="1:9" x14ac:dyDescent="0.3">
      <c r="A560" t="s">
        <v>764</v>
      </c>
      <c r="B560" t="s">
        <v>763</v>
      </c>
      <c r="C560">
        <f t="shared" si="8"/>
        <v>45809</v>
      </c>
      <c r="D560">
        <v>4100</v>
      </c>
      <c r="E560" t="str">
        <f>INDEX(Accounts!$B$2:$B$9,MATCH(D560,Accounts!$A$2:$A$9,0))</f>
        <v>Sales Returns &amp; Discounts</v>
      </c>
      <c r="F560" t="str">
        <f>INDEX(Accounts!$C$2:$C$9,MATCH(D560,Accounts!$A$2:$A$9,0))</f>
        <v>Contra Revenue</v>
      </c>
      <c r="G560" t="s">
        <v>48</v>
      </c>
      <c r="H560" t="s">
        <v>42</v>
      </c>
      <c r="I560">
        <v>2901</v>
      </c>
    </row>
    <row r="561" spans="1:9" x14ac:dyDescent="0.3">
      <c r="A561" t="s">
        <v>765</v>
      </c>
      <c r="B561" t="s">
        <v>763</v>
      </c>
      <c r="C561">
        <f t="shared" si="8"/>
        <v>45809</v>
      </c>
      <c r="D561">
        <v>5000</v>
      </c>
      <c r="E561" t="str">
        <f>INDEX(Accounts!$B$2:$B$9,MATCH(D561,Accounts!$A$2:$A$9,0))</f>
        <v>Cost of Goods Sold</v>
      </c>
      <c r="F561" t="str">
        <f>INDEX(Accounts!$C$2:$C$9,MATCH(D561,Accounts!$A$2:$A$9,0))</f>
        <v>COGS</v>
      </c>
      <c r="G561" t="s">
        <v>45</v>
      </c>
      <c r="H561" t="s">
        <v>44</v>
      </c>
      <c r="I561">
        <v>12402</v>
      </c>
    </row>
    <row r="562" spans="1:9" x14ac:dyDescent="0.3">
      <c r="A562" t="s">
        <v>766</v>
      </c>
      <c r="B562" t="s">
        <v>763</v>
      </c>
      <c r="C562">
        <f t="shared" si="8"/>
        <v>45809</v>
      </c>
      <c r="D562">
        <v>4000</v>
      </c>
      <c r="E562" t="str">
        <f>INDEX(Accounts!$B$2:$B$9,MATCH(D562,Accounts!$A$2:$A$9,0))</f>
        <v>Product Sales</v>
      </c>
      <c r="F562" t="str">
        <f>INDEX(Accounts!$C$2:$C$9,MATCH(D562,Accounts!$A$2:$A$9,0))</f>
        <v>Revenue</v>
      </c>
      <c r="G562" t="s">
        <v>45</v>
      </c>
      <c r="H562" t="s">
        <v>46</v>
      </c>
      <c r="I562">
        <v>126833</v>
      </c>
    </row>
    <row r="563" spans="1:9" x14ac:dyDescent="0.3">
      <c r="A563" t="s">
        <v>767</v>
      </c>
      <c r="B563" t="s">
        <v>763</v>
      </c>
      <c r="C563">
        <f t="shared" si="8"/>
        <v>45809</v>
      </c>
      <c r="D563">
        <v>6100</v>
      </c>
      <c r="E563" t="str">
        <f>INDEX(Accounts!$B$2:$B$9,MATCH(D563,Accounts!$A$2:$A$9,0))</f>
        <v>Marketing Expense</v>
      </c>
      <c r="F563" t="str">
        <f>INDEX(Accounts!$C$2:$C$9,MATCH(D563,Accounts!$A$2:$A$9,0))</f>
        <v>Operating Expense</v>
      </c>
      <c r="G563" t="s">
        <v>41</v>
      </c>
      <c r="H563" t="s">
        <v>46</v>
      </c>
      <c r="I563">
        <v>11632</v>
      </c>
    </row>
    <row r="564" spans="1:9" x14ac:dyDescent="0.3">
      <c r="A564" t="s">
        <v>768</v>
      </c>
      <c r="B564" t="s">
        <v>763</v>
      </c>
      <c r="C564">
        <f t="shared" si="8"/>
        <v>45809</v>
      </c>
      <c r="D564">
        <v>6400</v>
      </c>
      <c r="E564" t="str">
        <f>INDEX(Accounts!$B$2:$B$9,MATCH(D564,Accounts!$A$2:$A$9,0))</f>
        <v>Software &amp; Admin</v>
      </c>
      <c r="F564" t="str">
        <f>INDEX(Accounts!$C$2:$C$9,MATCH(D564,Accounts!$A$2:$A$9,0))</f>
        <v>Operating Expense</v>
      </c>
      <c r="G564" t="s">
        <v>43</v>
      </c>
      <c r="H564" t="s">
        <v>42</v>
      </c>
      <c r="I564">
        <v>8826</v>
      </c>
    </row>
    <row r="565" spans="1:9" x14ac:dyDescent="0.3">
      <c r="A565" t="s">
        <v>769</v>
      </c>
      <c r="B565" t="s">
        <v>770</v>
      </c>
      <c r="C565">
        <f t="shared" si="8"/>
        <v>45809</v>
      </c>
      <c r="D565">
        <v>4100</v>
      </c>
      <c r="E565" t="str">
        <f>INDEX(Accounts!$B$2:$B$9,MATCH(D565,Accounts!$A$2:$A$9,0))</f>
        <v>Sales Returns &amp; Discounts</v>
      </c>
      <c r="F565" t="str">
        <f>INDEX(Accounts!$C$2:$C$9,MATCH(D565,Accounts!$A$2:$A$9,0))</f>
        <v>Contra Revenue</v>
      </c>
      <c r="G565" t="s">
        <v>45</v>
      </c>
      <c r="H565" t="s">
        <v>46</v>
      </c>
      <c r="I565">
        <v>4290</v>
      </c>
    </row>
    <row r="566" spans="1:9" x14ac:dyDescent="0.3">
      <c r="A566" t="s">
        <v>771</v>
      </c>
      <c r="B566" t="s">
        <v>770</v>
      </c>
      <c r="C566">
        <f t="shared" si="8"/>
        <v>45809</v>
      </c>
      <c r="D566">
        <v>6000</v>
      </c>
      <c r="E566" t="str">
        <f>INDEX(Accounts!$B$2:$B$9,MATCH(D566,Accounts!$A$2:$A$9,0))</f>
        <v>Salaries &amp; Wages</v>
      </c>
      <c r="F566" t="str">
        <f>INDEX(Accounts!$C$2:$C$9,MATCH(D566,Accounts!$A$2:$A$9,0))</f>
        <v>Operating Expense</v>
      </c>
      <c r="G566" t="s">
        <v>41</v>
      </c>
      <c r="H566" t="s">
        <v>46</v>
      </c>
      <c r="I566">
        <v>10050</v>
      </c>
    </row>
    <row r="567" spans="1:9" x14ac:dyDescent="0.3">
      <c r="A567" t="s">
        <v>772</v>
      </c>
      <c r="B567" t="s">
        <v>770</v>
      </c>
      <c r="C567">
        <f t="shared" si="8"/>
        <v>45809</v>
      </c>
      <c r="D567">
        <v>6400</v>
      </c>
      <c r="E567" t="str">
        <f>INDEX(Accounts!$B$2:$B$9,MATCH(D567,Accounts!$A$2:$A$9,0))</f>
        <v>Software &amp; Admin</v>
      </c>
      <c r="F567" t="str">
        <f>INDEX(Accounts!$C$2:$C$9,MATCH(D567,Accounts!$A$2:$A$9,0))</f>
        <v>Operating Expense</v>
      </c>
      <c r="G567" t="s">
        <v>47</v>
      </c>
      <c r="H567" t="s">
        <v>42</v>
      </c>
      <c r="I567">
        <v>5543</v>
      </c>
    </row>
    <row r="568" spans="1:9" x14ac:dyDescent="0.3">
      <c r="A568" t="s">
        <v>773</v>
      </c>
      <c r="B568" t="s">
        <v>770</v>
      </c>
      <c r="C568">
        <f t="shared" si="8"/>
        <v>45809</v>
      </c>
      <c r="D568">
        <v>6100</v>
      </c>
      <c r="E568" t="str">
        <f>INDEX(Accounts!$B$2:$B$9,MATCH(D568,Accounts!$A$2:$A$9,0))</f>
        <v>Marketing Expense</v>
      </c>
      <c r="F568" t="str">
        <f>INDEX(Accounts!$C$2:$C$9,MATCH(D568,Accounts!$A$2:$A$9,0))</f>
        <v>Operating Expense</v>
      </c>
      <c r="G568" t="s">
        <v>47</v>
      </c>
      <c r="H568" t="s">
        <v>46</v>
      </c>
      <c r="I568">
        <v>8434</v>
      </c>
    </row>
    <row r="569" spans="1:9" x14ac:dyDescent="0.3">
      <c r="A569" t="s">
        <v>774</v>
      </c>
      <c r="B569" t="s">
        <v>775</v>
      </c>
      <c r="C569">
        <f t="shared" si="8"/>
        <v>45809</v>
      </c>
      <c r="D569">
        <v>6000</v>
      </c>
      <c r="E569" t="str">
        <f>INDEX(Accounts!$B$2:$B$9,MATCH(D569,Accounts!$A$2:$A$9,0))</f>
        <v>Salaries &amp; Wages</v>
      </c>
      <c r="F569" t="str">
        <f>INDEX(Accounts!$C$2:$C$9,MATCH(D569,Accounts!$A$2:$A$9,0))</f>
        <v>Operating Expense</v>
      </c>
      <c r="G569" t="s">
        <v>47</v>
      </c>
      <c r="H569" t="s">
        <v>42</v>
      </c>
      <c r="I569">
        <v>31392</v>
      </c>
    </row>
    <row r="570" spans="1:9" x14ac:dyDescent="0.3">
      <c r="A570" t="s">
        <v>776</v>
      </c>
      <c r="B570" t="s">
        <v>775</v>
      </c>
      <c r="C570">
        <f t="shared" si="8"/>
        <v>45809</v>
      </c>
      <c r="D570">
        <v>4100</v>
      </c>
      <c r="E570" t="str">
        <f>INDEX(Accounts!$B$2:$B$9,MATCH(D570,Accounts!$A$2:$A$9,0))</f>
        <v>Sales Returns &amp; Discounts</v>
      </c>
      <c r="F570" t="str">
        <f>INDEX(Accounts!$C$2:$C$9,MATCH(D570,Accounts!$A$2:$A$9,0))</f>
        <v>Contra Revenue</v>
      </c>
      <c r="G570" t="s">
        <v>45</v>
      </c>
      <c r="H570" t="s">
        <v>44</v>
      </c>
      <c r="I570">
        <v>10383</v>
      </c>
    </row>
    <row r="571" spans="1:9" x14ac:dyDescent="0.3">
      <c r="A571" t="s">
        <v>777</v>
      </c>
      <c r="B571" t="s">
        <v>778</v>
      </c>
      <c r="C571">
        <f t="shared" si="8"/>
        <v>45809</v>
      </c>
      <c r="D571">
        <v>5000</v>
      </c>
      <c r="E571" t="str">
        <f>INDEX(Accounts!$B$2:$B$9,MATCH(D571,Accounts!$A$2:$A$9,0))</f>
        <v>Cost of Goods Sold</v>
      </c>
      <c r="F571" t="str">
        <f>INDEX(Accounts!$C$2:$C$9,MATCH(D571,Accounts!$A$2:$A$9,0))</f>
        <v>COGS</v>
      </c>
      <c r="G571" t="s">
        <v>41</v>
      </c>
      <c r="H571" t="s">
        <v>42</v>
      </c>
      <c r="I571">
        <v>42042</v>
      </c>
    </row>
    <row r="572" spans="1:9" x14ac:dyDescent="0.3">
      <c r="A572" t="s">
        <v>779</v>
      </c>
      <c r="B572" t="s">
        <v>780</v>
      </c>
      <c r="C572">
        <f t="shared" si="8"/>
        <v>45809</v>
      </c>
      <c r="D572">
        <v>5000</v>
      </c>
      <c r="E572" t="str">
        <f>INDEX(Accounts!$B$2:$B$9,MATCH(D572,Accounts!$A$2:$A$9,0))</f>
        <v>Cost of Goods Sold</v>
      </c>
      <c r="F572" t="str">
        <f>INDEX(Accounts!$C$2:$C$9,MATCH(D572,Accounts!$A$2:$A$9,0))</f>
        <v>COGS</v>
      </c>
      <c r="G572" t="s">
        <v>48</v>
      </c>
      <c r="H572" t="s">
        <v>44</v>
      </c>
      <c r="I572">
        <v>20172</v>
      </c>
    </row>
    <row r="573" spans="1:9" x14ac:dyDescent="0.3">
      <c r="A573" t="s">
        <v>781</v>
      </c>
      <c r="B573" t="s">
        <v>780</v>
      </c>
      <c r="C573">
        <f t="shared" si="8"/>
        <v>45809</v>
      </c>
      <c r="D573">
        <v>4100</v>
      </c>
      <c r="E573" t="str">
        <f>INDEX(Accounts!$B$2:$B$9,MATCH(D573,Accounts!$A$2:$A$9,0))</f>
        <v>Sales Returns &amp; Discounts</v>
      </c>
      <c r="F573" t="str">
        <f>INDEX(Accounts!$C$2:$C$9,MATCH(D573,Accounts!$A$2:$A$9,0))</f>
        <v>Contra Revenue</v>
      </c>
      <c r="G573" t="s">
        <v>41</v>
      </c>
      <c r="H573" t="s">
        <v>44</v>
      </c>
      <c r="I573">
        <v>6980</v>
      </c>
    </row>
    <row r="574" spans="1:9" x14ac:dyDescent="0.3">
      <c r="A574" t="s">
        <v>782</v>
      </c>
      <c r="B574" t="s">
        <v>780</v>
      </c>
      <c r="C574">
        <f t="shared" si="8"/>
        <v>45809</v>
      </c>
      <c r="D574">
        <v>5000</v>
      </c>
      <c r="E574" t="str">
        <f>INDEX(Accounts!$B$2:$B$9,MATCH(D574,Accounts!$A$2:$A$9,0))</f>
        <v>Cost of Goods Sold</v>
      </c>
      <c r="F574" t="str">
        <f>INDEX(Accounts!$C$2:$C$9,MATCH(D574,Accounts!$A$2:$A$9,0))</f>
        <v>COGS</v>
      </c>
      <c r="G574" t="s">
        <v>41</v>
      </c>
      <c r="H574" t="s">
        <v>42</v>
      </c>
      <c r="I574">
        <v>8071</v>
      </c>
    </row>
    <row r="575" spans="1:9" x14ac:dyDescent="0.3">
      <c r="A575" t="s">
        <v>783</v>
      </c>
      <c r="B575" t="s">
        <v>784</v>
      </c>
      <c r="C575">
        <f t="shared" si="8"/>
        <v>45809</v>
      </c>
      <c r="D575">
        <v>5000</v>
      </c>
      <c r="E575" t="str">
        <f>INDEX(Accounts!$B$2:$B$9,MATCH(D575,Accounts!$A$2:$A$9,0))</f>
        <v>Cost of Goods Sold</v>
      </c>
      <c r="F575" t="str">
        <f>INDEX(Accounts!$C$2:$C$9,MATCH(D575,Accounts!$A$2:$A$9,0))</f>
        <v>COGS</v>
      </c>
      <c r="G575" t="s">
        <v>43</v>
      </c>
      <c r="H575" t="s">
        <v>42</v>
      </c>
      <c r="I575">
        <v>31666</v>
      </c>
    </row>
    <row r="576" spans="1:9" x14ac:dyDescent="0.3">
      <c r="A576" t="s">
        <v>785</v>
      </c>
      <c r="B576" t="s">
        <v>784</v>
      </c>
      <c r="C576">
        <f t="shared" si="8"/>
        <v>45809</v>
      </c>
      <c r="D576">
        <v>6400</v>
      </c>
      <c r="E576" t="str">
        <f>INDEX(Accounts!$B$2:$B$9,MATCH(D576,Accounts!$A$2:$A$9,0))</f>
        <v>Software &amp; Admin</v>
      </c>
      <c r="F576" t="str">
        <f>INDEX(Accounts!$C$2:$C$9,MATCH(D576,Accounts!$A$2:$A$9,0))</f>
        <v>Operating Expense</v>
      </c>
      <c r="G576" t="s">
        <v>45</v>
      </c>
      <c r="H576" t="s">
        <v>44</v>
      </c>
      <c r="I576">
        <v>4203</v>
      </c>
    </row>
    <row r="577" spans="1:9" x14ac:dyDescent="0.3">
      <c r="A577" t="s">
        <v>786</v>
      </c>
      <c r="B577" t="s">
        <v>784</v>
      </c>
      <c r="C577">
        <f t="shared" si="8"/>
        <v>45809</v>
      </c>
      <c r="D577">
        <v>5000</v>
      </c>
      <c r="E577" t="str">
        <f>INDEX(Accounts!$B$2:$B$9,MATCH(D577,Accounts!$A$2:$A$9,0))</f>
        <v>Cost of Goods Sold</v>
      </c>
      <c r="F577" t="str">
        <f>INDEX(Accounts!$C$2:$C$9,MATCH(D577,Accounts!$A$2:$A$9,0))</f>
        <v>COGS</v>
      </c>
      <c r="G577" t="s">
        <v>47</v>
      </c>
      <c r="H577" t="s">
        <v>44</v>
      </c>
      <c r="I577">
        <v>64707</v>
      </c>
    </row>
    <row r="578" spans="1:9" x14ac:dyDescent="0.3">
      <c r="A578" t="s">
        <v>787</v>
      </c>
      <c r="B578" t="s">
        <v>784</v>
      </c>
      <c r="C578">
        <f t="shared" ref="C578:C641" si="9">DATE(YEAR(B578),MONTH(B578),1)</f>
        <v>45809</v>
      </c>
      <c r="D578">
        <v>6400</v>
      </c>
      <c r="E578" t="str">
        <f>INDEX(Accounts!$B$2:$B$9,MATCH(D578,Accounts!$A$2:$A$9,0))</f>
        <v>Software &amp; Admin</v>
      </c>
      <c r="F578" t="str">
        <f>INDEX(Accounts!$C$2:$C$9,MATCH(D578,Accounts!$A$2:$A$9,0))</f>
        <v>Operating Expense</v>
      </c>
      <c r="G578" t="s">
        <v>43</v>
      </c>
      <c r="H578" t="s">
        <v>46</v>
      </c>
      <c r="I578">
        <v>2560</v>
      </c>
    </row>
    <row r="579" spans="1:9" x14ac:dyDescent="0.3">
      <c r="A579" t="s">
        <v>788</v>
      </c>
      <c r="B579" t="s">
        <v>784</v>
      </c>
      <c r="C579">
        <f t="shared" si="9"/>
        <v>45809</v>
      </c>
      <c r="D579">
        <v>4000</v>
      </c>
      <c r="E579" t="str">
        <f>INDEX(Accounts!$B$2:$B$9,MATCH(D579,Accounts!$A$2:$A$9,0))</f>
        <v>Product Sales</v>
      </c>
      <c r="F579" t="str">
        <f>INDEX(Accounts!$C$2:$C$9,MATCH(D579,Accounts!$A$2:$A$9,0))</f>
        <v>Revenue</v>
      </c>
      <c r="G579" t="s">
        <v>45</v>
      </c>
      <c r="H579" t="s">
        <v>46</v>
      </c>
      <c r="I579">
        <v>68391</v>
      </c>
    </row>
    <row r="580" spans="1:9" x14ac:dyDescent="0.3">
      <c r="A580" t="s">
        <v>789</v>
      </c>
      <c r="B580" t="s">
        <v>790</v>
      </c>
      <c r="C580">
        <f t="shared" si="9"/>
        <v>45809</v>
      </c>
      <c r="D580">
        <v>4000</v>
      </c>
      <c r="E580" t="str">
        <f>INDEX(Accounts!$B$2:$B$9,MATCH(D580,Accounts!$A$2:$A$9,0))</f>
        <v>Product Sales</v>
      </c>
      <c r="F580" t="str">
        <f>INDEX(Accounts!$C$2:$C$9,MATCH(D580,Accounts!$A$2:$A$9,0))</f>
        <v>Revenue</v>
      </c>
      <c r="G580" t="s">
        <v>41</v>
      </c>
      <c r="H580" t="s">
        <v>42</v>
      </c>
      <c r="I580">
        <v>138947</v>
      </c>
    </row>
    <row r="581" spans="1:9" x14ac:dyDescent="0.3">
      <c r="A581" t="s">
        <v>791</v>
      </c>
      <c r="B581" t="s">
        <v>790</v>
      </c>
      <c r="C581">
        <f t="shared" si="9"/>
        <v>45809</v>
      </c>
      <c r="D581">
        <v>4000</v>
      </c>
      <c r="E581" t="str">
        <f>INDEX(Accounts!$B$2:$B$9,MATCH(D581,Accounts!$A$2:$A$9,0))</f>
        <v>Product Sales</v>
      </c>
      <c r="F581" t="str">
        <f>INDEX(Accounts!$C$2:$C$9,MATCH(D581,Accounts!$A$2:$A$9,0))</f>
        <v>Revenue</v>
      </c>
      <c r="G581" t="s">
        <v>45</v>
      </c>
      <c r="H581" t="s">
        <v>42</v>
      </c>
      <c r="I581">
        <v>114935</v>
      </c>
    </row>
    <row r="582" spans="1:9" x14ac:dyDescent="0.3">
      <c r="A582" t="s">
        <v>792</v>
      </c>
      <c r="B582" t="s">
        <v>793</v>
      </c>
      <c r="C582">
        <f t="shared" si="9"/>
        <v>45809</v>
      </c>
      <c r="D582">
        <v>4000</v>
      </c>
      <c r="E582" t="str">
        <f>INDEX(Accounts!$B$2:$B$9,MATCH(D582,Accounts!$A$2:$A$9,0))</f>
        <v>Product Sales</v>
      </c>
      <c r="F582" t="str">
        <f>INDEX(Accounts!$C$2:$C$9,MATCH(D582,Accounts!$A$2:$A$9,0))</f>
        <v>Revenue</v>
      </c>
      <c r="G582" t="s">
        <v>41</v>
      </c>
      <c r="H582" t="s">
        <v>42</v>
      </c>
      <c r="I582">
        <v>129410</v>
      </c>
    </row>
    <row r="583" spans="1:9" x14ac:dyDescent="0.3">
      <c r="A583" t="s">
        <v>794</v>
      </c>
      <c r="B583" t="s">
        <v>793</v>
      </c>
      <c r="C583">
        <f t="shared" si="9"/>
        <v>45809</v>
      </c>
      <c r="D583">
        <v>5000</v>
      </c>
      <c r="E583" t="str">
        <f>INDEX(Accounts!$B$2:$B$9,MATCH(D583,Accounts!$A$2:$A$9,0))</f>
        <v>Cost of Goods Sold</v>
      </c>
      <c r="F583" t="str">
        <f>INDEX(Accounts!$C$2:$C$9,MATCH(D583,Accounts!$A$2:$A$9,0))</f>
        <v>COGS</v>
      </c>
      <c r="G583" t="s">
        <v>41</v>
      </c>
      <c r="H583" t="s">
        <v>44</v>
      </c>
      <c r="I583">
        <v>37146</v>
      </c>
    </row>
    <row r="584" spans="1:9" x14ac:dyDescent="0.3">
      <c r="A584" t="s">
        <v>795</v>
      </c>
      <c r="B584" t="s">
        <v>793</v>
      </c>
      <c r="C584">
        <f t="shared" si="9"/>
        <v>45809</v>
      </c>
      <c r="D584">
        <v>5000</v>
      </c>
      <c r="E584" t="str">
        <f>INDEX(Accounts!$B$2:$B$9,MATCH(D584,Accounts!$A$2:$A$9,0))</f>
        <v>Cost of Goods Sold</v>
      </c>
      <c r="F584" t="str">
        <f>INDEX(Accounts!$C$2:$C$9,MATCH(D584,Accounts!$A$2:$A$9,0))</f>
        <v>COGS</v>
      </c>
      <c r="G584" t="s">
        <v>47</v>
      </c>
      <c r="H584" t="s">
        <v>46</v>
      </c>
      <c r="I584">
        <v>46954</v>
      </c>
    </row>
    <row r="585" spans="1:9" x14ac:dyDescent="0.3">
      <c r="A585" t="s">
        <v>796</v>
      </c>
      <c r="B585" t="s">
        <v>793</v>
      </c>
      <c r="C585">
        <f t="shared" si="9"/>
        <v>45809</v>
      </c>
      <c r="D585">
        <v>4000</v>
      </c>
      <c r="E585" t="str">
        <f>INDEX(Accounts!$B$2:$B$9,MATCH(D585,Accounts!$A$2:$A$9,0))</f>
        <v>Product Sales</v>
      </c>
      <c r="F585" t="str">
        <f>INDEX(Accounts!$C$2:$C$9,MATCH(D585,Accounts!$A$2:$A$9,0))</f>
        <v>Revenue</v>
      </c>
      <c r="G585" t="s">
        <v>41</v>
      </c>
      <c r="H585" t="s">
        <v>46</v>
      </c>
      <c r="I585">
        <v>153315</v>
      </c>
    </row>
    <row r="586" spans="1:9" x14ac:dyDescent="0.3">
      <c r="A586" t="s">
        <v>797</v>
      </c>
      <c r="B586" t="s">
        <v>793</v>
      </c>
      <c r="C586">
        <f t="shared" si="9"/>
        <v>45809</v>
      </c>
      <c r="D586">
        <v>6300</v>
      </c>
      <c r="E586" t="str">
        <f>INDEX(Accounts!$B$2:$B$9,MATCH(D586,Accounts!$A$2:$A$9,0))</f>
        <v>Logistics Expense</v>
      </c>
      <c r="F586" t="str">
        <f>INDEX(Accounts!$C$2:$C$9,MATCH(D586,Accounts!$A$2:$A$9,0))</f>
        <v>Operating Expense</v>
      </c>
      <c r="G586" t="s">
        <v>45</v>
      </c>
      <c r="H586" t="s">
        <v>42</v>
      </c>
      <c r="I586">
        <v>3131</v>
      </c>
    </row>
    <row r="587" spans="1:9" x14ac:dyDescent="0.3">
      <c r="A587" t="s">
        <v>798</v>
      </c>
      <c r="B587" t="s">
        <v>799</v>
      </c>
      <c r="C587">
        <f t="shared" si="9"/>
        <v>45809</v>
      </c>
      <c r="D587">
        <v>6100</v>
      </c>
      <c r="E587" t="str">
        <f>INDEX(Accounts!$B$2:$B$9,MATCH(D587,Accounts!$A$2:$A$9,0))</f>
        <v>Marketing Expense</v>
      </c>
      <c r="F587" t="str">
        <f>INDEX(Accounts!$C$2:$C$9,MATCH(D587,Accounts!$A$2:$A$9,0))</f>
        <v>Operating Expense</v>
      </c>
      <c r="G587" t="s">
        <v>41</v>
      </c>
      <c r="H587" t="s">
        <v>42</v>
      </c>
      <c r="I587">
        <v>5070</v>
      </c>
    </row>
    <row r="588" spans="1:9" x14ac:dyDescent="0.3">
      <c r="A588" t="s">
        <v>800</v>
      </c>
      <c r="B588" t="s">
        <v>801</v>
      </c>
      <c r="C588">
        <f t="shared" si="9"/>
        <v>45809</v>
      </c>
      <c r="D588">
        <v>5000</v>
      </c>
      <c r="E588" t="str">
        <f>INDEX(Accounts!$B$2:$B$9,MATCH(D588,Accounts!$A$2:$A$9,0))</f>
        <v>Cost of Goods Sold</v>
      </c>
      <c r="F588" t="str">
        <f>INDEX(Accounts!$C$2:$C$9,MATCH(D588,Accounts!$A$2:$A$9,0))</f>
        <v>COGS</v>
      </c>
      <c r="G588" t="s">
        <v>43</v>
      </c>
      <c r="H588" t="s">
        <v>42</v>
      </c>
      <c r="I588">
        <v>49729</v>
      </c>
    </row>
    <row r="589" spans="1:9" x14ac:dyDescent="0.3">
      <c r="A589" t="s">
        <v>802</v>
      </c>
      <c r="B589" t="s">
        <v>801</v>
      </c>
      <c r="C589">
        <f t="shared" si="9"/>
        <v>45809</v>
      </c>
      <c r="D589">
        <v>6100</v>
      </c>
      <c r="E589" t="str">
        <f>INDEX(Accounts!$B$2:$B$9,MATCH(D589,Accounts!$A$2:$A$9,0))</f>
        <v>Marketing Expense</v>
      </c>
      <c r="F589" t="str">
        <f>INDEX(Accounts!$C$2:$C$9,MATCH(D589,Accounts!$A$2:$A$9,0))</f>
        <v>Operating Expense</v>
      </c>
      <c r="G589" t="s">
        <v>41</v>
      </c>
      <c r="H589" t="s">
        <v>46</v>
      </c>
      <c r="I589">
        <v>13864</v>
      </c>
    </row>
    <row r="590" spans="1:9" x14ac:dyDescent="0.3">
      <c r="A590" t="s">
        <v>803</v>
      </c>
      <c r="B590" t="s">
        <v>801</v>
      </c>
      <c r="C590">
        <f t="shared" si="9"/>
        <v>45809</v>
      </c>
      <c r="D590">
        <v>6100</v>
      </c>
      <c r="E590" t="str">
        <f>INDEX(Accounts!$B$2:$B$9,MATCH(D590,Accounts!$A$2:$A$9,0))</f>
        <v>Marketing Expense</v>
      </c>
      <c r="F590" t="str">
        <f>INDEX(Accounts!$C$2:$C$9,MATCH(D590,Accounts!$A$2:$A$9,0))</f>
        <v>Operating Expense</v>
      </c>
      <c r="G590" t="s">
        <v>45</v>
      </c>
      <c r="H590" t="s">
        <v>46</v>
      </c>
      <c r="I590">
        <v>8383</v>
      </c>
    </row>
    <row r="591" spans="1:9" x14ac:dyDescent="0.3">
      <c r="A591" t="s">
        <v>804</v>
      </c>
      <c r="B591" t="s">
        <v>801</v>
      </c>
      <c r="C591">
        <f t="shared" si="9"/>
        <v>45809</v>
      </c>
      <c r="D591">
        <v>5000</v>
      </c>
      <c r="E591" t="str">
        <f>INDEX(Accounts!$B$2:$B$9,MATCH(D591,Accounts!$A$2:$A$9,0))</f>
        <v>Cost of Goods Sold</v>
      </c>
      <c r="F591" t="str">
        <f>INDEX(Accounts!$C$2:$C$9,MATCH(D591,Accounts!$A$2:$A$9,0))</f>
        <v>COGS</v>
      </c>
      <c r="G591" t="s">
        <v>45</v>
      </c>
      <c r="H591" t="s">
        <v>42</v>
      </c>
      <c r="I591">
        <v>34401</v>
      </c>
    </row>
    <row r="592" spans="1:9" x14ac:dyDescent="0.3">
      <c r="A592" t="s">
        <v>805</v>
      </c>
      <c r="B592" t="s">
        <v>806</v>
      </c>
      <c r="C592">
        <f t="shared" si="9"/>
        <v>45809</v>
      </c>
      <c r="D592">
        <v>4000</v>
      </c>
      <c r="E592" t="str">
        <f>INDEX(Accounts!$B$2:$B$9,MATCH(D592,Accounts!$A$2:$A$9,0))</f>
        <v>Product Sales</v>
      </c>
      <c r="F592" t="str">
        <f>INDEX(Accounts!$C$2:$C$9,MATCH(D592,Accounts!$A$2:$A$9,0))</f>
        <v>Revenue</v>
      </c>
      <c r="G592" t="s">
        <v>41</v>
      </c>
      <c r="H592" t="s">
        <v>46</v>
      </c>
      <c r="I592">
        <v>128993</v>
      </c>
    </row>
    <row r="593" spans="1:9" x14ac:dyDescent="0.3">
      <c r="A593" t="s">
        <v>807</v>
      </c>
      <c r="B593" t="s">
        <v>806</v>
      </c>
      <c r="C593">
        <f t="shared" si="9"/>
        <v>45809</v>
      </c>
      <c r="D593">
        <v>5000</v>
      </c>
      <c r="E593" t="str">
        <f>INDEX(Accounts!$B$2:$B$9,MATCH(D593,Accounts!$A$2:$A$9,0))</f>
        <v>Cost of Goods Sold</v>
      </c>
      <c r="F593" t="str">
        <f>INDEX(Accounts!$C$2:$C$9,MATCH(D593,Accounts!$A$2:$A$9,0))</f>
        <v>COGS</v>
      </c>
      <c r="G593" t="s">
        <v>43</v>
      </c>
      <c r="H593" t="s">
        <v>44</v>
      </c>
      <c r="I593">
        <v>14769</v>
      </c>
    </row>
    <row r="594" spans="1:9" x14ac:dyDescent="0.3">
      <c r="A594" t="s">
        <v>808</v>
      </c>
      <c r="B594" t="s">
        <v>806</v>
      </c>
      <c r="C594">
        <f t="shared" si="9"/>
        <v>45809</v>
      </c>
      <c r="D594">
        <v>4000</v>
      </c>
      <c r="E594" t="str">
        <f>INDEX(Accounts!$B$2:$B$9,MATCH(D594,Accounts!$A$2:$A$9,0))</f>
        <v>Product Sales</v>
      </c>
      <c r="F594" t="str">
        <f>INDEX(Accounts!$C$2:$C$9,MATCH(D594,Accounts!$A$2:$A$9,0))</f>
        <v>Revenue</v>
      </c>
      <c r="G594" t="s">
        <v>41</v>
      </c>
      <c r="H594" t="s">
        <v>42</v>
      </c>
      <c r="I594">
        <v>158870</v>
      </c>
    </row>
    <row r="595" spans="1:9" x14ac:dyDescent="0.3">
      <c r="A595" t="s">
        <v>809</v>
      </c>
      <c r="B595" t="s">
        <v>806</v>
      </c>
      <c r="C595">
        <f t="shared" si="9"/>
        <v>45809</v>
      </c>
      <c r="D595">
        <v>6000</v>
      </c>
      <c r="E595" t="str">
        <f>INDEX(Accounts!$B$2:$B$9,MATCH(D595,Accounts!$A$2:$A$9,0))</f>
        <v>Salaries &amp; Wages</v>
      </c>
      <c r="F595" t="str">
        <f>INDEX(Accounts!$C$2:$C$9,MATCH(D595,Accounts!$A$2:$A$9,0))</f>
        <v>Operating Expense</v>
      </c>
      <c r="G595" t="s">
        <v>43</v>
      </c>
      <c r="H595" t="s">
        <v>44</v>
      </c>
      <c r="I595">
        <v>11086</v>
      </c>
    </row>
    <row r="596" spans="1:9" x14ac:dyDescent="0.3">
      <c r="A596" t="s">
        <v>810</v>
      </c>
      <c r="B596" t="s">
        <v>811</v>
      </c>
      <c r="C596">
        <f t="shared" si="9"/>
        <v>45809</v>
      </c>
      <c r="D596">
        <v>4000</v>
      </c>
      <c r="E596" t="str">
        <f>INDEX(Accounts!$B$2:$B$9,MATCH(D596,Accounts!$A$2:$A$9,0))</f>
        <v>Product Sales</v>
      </c>
      <c r="F596" t="str">
        <f>INDEX(Accounts!$C$2:$C$9,MATCH(D596,Accounts!$A$2:$A$9,0))</f>
        <v>Revenue</v>
      </c>
      <c r="G596" t="s">
        <v>41</v>
      </c>
      <c r="H596" t="s">
        <v>44</v>
      </c>
      <c r="I596">
        <v>112088</v>
      </c>
    </row>
    <row r="597" spans="1:9" x14ac:dyDescent="0.3">
      <c r="A597" t="s">
        <v>812</v>
      </c>
      <c r="B597" t="s">
        <v>811</v>
      </c>
      <c r="C597">
        <f t="shared" si="9"/>
        <v>45809</v>
      </c>
      <c r="D597">
        <v>5000</v>
      </c>
      <c r="E597" t="str">
        <f>INDEX(Accounts!$B$2:$B$9,MATCH(D597,Accounts!$A$2:$A$9,0))</f>
        <v>Cost of Goods Sold</v>
      </c>
      <c r="F597" t="str">
        <f>INDEX(Accounts!$C$2:$C$9,MATCH(D597,Accounts!$A$2:$A$9,0))</f>
        <v>COGS</v>
      </c>
      <c r="G597" t="s">
        <v>43</v>
      </c>
      <c r="H597" t="s">
        <v>46</v>
      </c>
      <c r="I597">
        <v>46573</v>
      </c>
    </row>
    <row r="598" spans="1:9" x14ac:dyDescent="0.3">
      <c r="A598" t="s">
        <v>813</v>
      </c>
      <c r="B598" t="s">
        <v>811</v>
      </c>
      <c r="C598">
        <f t="shared" si="9"/>
        <v>45809</v>
      </c>
      <c r="D598">
        <v>6200</v>
      </c>
      <c r="E598" t="str">
        <f>INDEX(Accounts!$B$2:$B$9,MATCH(D598,Accounts!$A$2:$A$9,0))</f>
        <v>Rent &amp; Utilities</v>
      </c>
      <c r="F598" t="str">
        <f>INDEX(Accounts!$C$2:$C$9,MATCH(D598,Accounts!$A$2:$A$9,0))</f>
        <v>Operating Expense</v>
      </c>
      <c r="G598" t="s">
        <v>43</v>
      </c>
      <c r="H598" t="s">
        <v>44</v>
      </c>
      <c r="I598">
        <v>10801</v>
      </c>
    </row>
    <row r="599" spans="1:9" x14ac:dyDescent="0.3">
      <c r="A599" t="s">
        <v>814</v>
      </c>
      <c r="B599" t="s">
        <v>811</v>
      </c>
      <c r="C599">
        <f t="shared" si="9"/>
        <v>45809</v>
      </c>
      <c r="D599">
        <v>4000</v>
      </c>
      <c r="E599" t="str">
        <f>INDEX(Accounts!$B$2:$B$9,MATCH(D599,Accounts!$A$2:$A$9,0))</f>
        <v>Product Sales</v>
      </c>
      <c r="F599" t="str">
        <f>INDEX(Accounts!$C$2:$C$9,MATCH(D599,Accounts!$A$2:$A$9,0))</f>
        <v>Revenue</v>
      </c>
      <c r="G599" t="s">
        <v>43</v>
      </c>
      <c r="H599" t="s">
        <v>42</v>
      </c>
      <c r="I599">
        <v>73860</v>
      </c>
    </row>
    <row r="600" spans="1:9" x14ac:dyDescent="0.3">
      <c r="A600" t="s">
        <v>815</v>
      </c>
      <c r="B600" t="s">
        <v>811</v>
      </c>
      <c r="C600">
        <f t="shared" si="9"/>
        <v>45809</v>
      </c>
      <c r="D600">
        <v>6000</v>
      </c>
      <c r="E600" t="str">
        <f>INDEX(Accounts!$B$2:$B$9,MATCH(D600,Accounts!$A$2:$A$9,0))</f>
        <v>Salaries &amp; Wages</v>
      </c>
      <c r="F600" t="str">
        <f>INDEX(Accounts!$C$2:$C$9,MATCH(D600,Accounts!$A$2:$A$9,0))</f>
        <v>Operating Expense</v>
      </c>
      <c r="G600" t="s">
        <v>48</v>
      </c>
      <c r="H600" t="s">
        <v>42</v>
      </c>
      <c r="I600">
        <v>29116</v>
      </c>
    </row>
    <row r="601" spans="1:9" x14ac:dyDescent="0.3">
      <c r="A601" t="s">
        <v>816</v>
      </c>
      <c r="B601" t="s">
        <v>811</v>
      </c>
      <c r="C601">
        <f t="shared" si="9"/>
        <v>45809</v>
      </c>
      <c r="D601">
        <v>5000</v>
      </c>
      <c r="E601" t="str">
        <f>INDEX(Accounts!$B$2:$B$9,MATCH(D601,Accounts!$A$2:$A$9,0))</f>
        <v>Cost of Goods Sold</v>
      </c>
      <c r="F601" t="str">
        <f>INDEX(Accounts!$C$2:$C$9,MATCH(D601,Accounts!$A$2:$A$9,0))</f>
        <v>COGS</v>
      </c>
      <c r="G601" t="s">
        <v>48</v>
      </c>
      <c r="H601" t="s">
        <v>44</v>
      </c>
      <c r="I601">
        <v>21259</v>
      </c>
    </row>
    <row r="602" spans="1:9" x14ac:dyDescent="0.3">
      <c r="A602" t="s">
        <v>817</v>
      </c>
      <c r="B602" t="s">
        <v>818</v>
      </c>
      <c r="C602">
        <f t="shared" si="9"/>
        <v>45809</v>
      </c>
      <c r="D602">
        <v>4000</v>
      </c>
      <c r="E602" t="str">
        <f>INDEX(Accounts!$B$2:$B$9,MATCH(D602,Accounts!$A$2:$A$9,0))</f>
        <v>Product Sales</v>
      </c>
      <c r="F602" t="str">
        <f>INDEX(Accounts!$C$2:$C$9,MATCH(D602,Accounts!$A$2:$A$9,0))</f>
        <v>Revenue</v>
      </c>
      <c r="G602" t="s">
        <v>48</v>
      </c>
      <c r="H602" t="s">
        <v>46</v>
      </c>
      <c r="I602">
        <v>98498</v>
      </c>
    </row>
    <row r="603" spans="1:9" x14ac:dyDescent="0.3">
      <c r="A603" t="s">
        <v>819</v>
      </c>
      <c r="B603" t="s">
        <v>818</v>
      </c>
      <c r="C603">
        <f t="shared" si="9"/>
        <v>45809</v>
      </c>
      <c r="D603">
        <v>4100</v>
      </c>
      <c r="E603" t="str">
        <f>INDEX(Accounts!$B$2:$B$9,MATCH(D603,Accounts!$A$2:$A$9,0))</f>
        <v>Sales Returns &amp; Discounts</v>
      </c>
      <c r="F603" t="str">
        <f>INDEX(Accounts!$C$2:$C$9,MATCH(D603,Accounts!$A$2:$A$9,0))</f>
        <v>Contra Revenue</v>
      </c>
      <c r="G603" t="s">
        <v>48</v>
      </c>
      <c r="H603" t="s">
        <v>44</v>
      </c>
      <c r="I603">
        <v>5775</v>
      </c>
    </row>
    <row r="604" spans="1:9" x14ac:dyDescent="0.3">
      <c r="A604" t="s">
        <v>820</v>
      </c>
      <c r="B604" t="s">
        <v>818</v>
      </c>
      <c r="C604">
        <f t="shared" si="9"/>
        <v>45809</v>
      </c>
      <c r="D604">
        <v>6000</v>
      </c>
      <c r="E604" t="str">
        <f>INDEX(Accounts!$B$2:$B$9,MATCH(D604,Accounts!$A$2:$A$9,0))</f>
        <v>Salaries &amp; Wages</v>
      </c>
      <c r="F604" t="str">
        <f>INDEX(Accounts!$C$2:$C$9,MATCH(D604,Accounts!$A$2:$A$9,0))</f>
        <v>Operating Expense</v>
      </c>
      <c r="G604" t="s">
        <v>43</v>
      </c>
      <c r="H604" t="s">
        <v>46</v>
      </c>
      <c r="I604">
        <v>18706</v>
      </c>
    </row>
    <row r="605" spans="1:9" x14ac:dyDescent="0.3">
      <c r="A605" t="s">
        <v>821</v>
      </c>
      <c r="B605" t="s">
        <v>818</v>
      </c>
      <c r="C605">
        <f t="shared" si="9"/>
        <v>45809</v>
      </c>
      <c r="D605">
        <v>6000</v>
      </c>
      <c r="E605" t="str">
        <f>INDEX(Accounts!$B$2:$B$9,MATCH(D605,Accounts!$A$2:$A$9,0))</f>
        <v>Salaries &amp; Wages</v>
      </c>
      <c r="F605" t="str">
        <f>INDEX(Accounts!$C$2:$C$9,MATCH(D605,Accounts!$A$2:$A$9,0))</f>
        <v>Operating Expense</v>
      </c>
      <c r="G605" t="s">
        <v>45</v>
      </c>
      <c r="H605" t="s">
        <v>46</v>
      </c>
      <c r="I605">
        <v>10676</v>
      </c>
    </row>
    <row r="606" spans="1:9" x14ac:dyDescent="0.3">
      <c r="A606" t="s">
        <v>822</v>
      </c>
      <c r="B606" t="s">
        <v>818</v>
      </c>
      <c r="C606">
        <f t="shared" si="9"/>
        <v>45809</v>
      </c>
      <c r="D606">
        <v>4000</v>
      </c>
      <c r="E606" t="str">
        <f>INDEX(Accounts!$B$2:$B$9,MATCH(D606,Accounts!$A$2:$A$9,0))</f>
        <v>Product Sales</v>
      </c>
      <c r="F606" t="str">
        <f>INDEX(Accounts!$C$2:$C$9,MATCH(D606,Accounts!$A$2:$A$9,0))</f>
        <v>Revenue</v>
      </c>
      <c r="G606" t="s">
        <v>47</v>
      </c>
      <c r="H606" t="s">
        <v>46</v>
      </c>
      <c r="I606">
        <v>157497</v>
      </c>
    </row>
    <row r="607" spans="1:9" x14ac:dyDescent="0.3">
      <c r="A607" t="s">
        <v>823</v>
      </c>
      <c r="B607" t="s">
        <v>818</v>
      </c>
      <c r="C607">
        <f t="shared" si="9"/>
        <v>45809</v>
      </c>
      <c r="D607">
        <v>4000</v>
      </c>
      <c r="E607" t="str">
        <f>INDEX(Accounts!$B$2:$B$9,MATCH(D607,Accounts!$A$2:$A$9,0))</f>
        <v>Product Sales</v>
      </c>
      <c r="F607" t="str">
        <f>INDEX(Accounts!$C$2:$C$9,MATCH(D607,Accounts!$A$2:$A$9,0))</f>
        <v>Revenue</v>
      </c>
      <c r="G607" t="s">
        <v>45</v>
      </c>
      <c r="H607" t="s">
        <v>46</v>
      </c>
      <c r="I607">
        <v>133586</v>
      </c>
    </row>
    <row r="608" spans="1:9" x14ac:dyDescent="0.3">
      <c r="A608" t="s">
        <v>824</v>
      </c>
      <c r="B608" t="s">
        <v>818</v>
      </c>
      <c r="C608">
        <f t="shared" si="9"/>
        <v>45809</v>
      </c>
      <c r="D608">
        <v>4100</v>
      </c>
      <c r="E608" t="str">
        <f>INDEX(Accounts!$B$2:$B$9,MATCH(D608,Accounts!$A$2:$A$9,0))</f>
        <v>Sales Returns &amp; Discounts</v>
      </c>
      <c r="F608" t="str">
        <f>INDEX(Accounts!$C$2:$C$9,MATCH(D608,Accounts!$A$2:$A$9,0))</f>
        <v>Contra Revenue</v>
      </c>
      <c r="G608" t="s">
        <v>41</v>
      </c>
      <c r="H608" t="s">
        <v>46</v>
      </c>
      <c r="I608">
        <v>2526</v>
      </c>
    </row>
    <row r="609" spans="1:9" x14ac:dyDescent="0.3">
      <c r="A609" t="s">
        <v>825</v>
      </c>
      <c r="B609" t="s">
        <v>826</v>
      </c>
      <c r="C609">
        <f t="shared" si="9"/>
        <v>45809</v>
      </c>
      <c r="D609">
        <v>6300</v>
      </c>
      <c r="E609" t="str">
        <f>INDEX(Accounts!$B$2:$B$9,MATCH(D609,Accounts!$A$2:$A$9,0))</f>
        <v>Logistics Expense</v>
      </c>
      <c r="F609" t="str">
        <f>INDEX(Accounts!$C$2:$C$9,MATCH(D609,Accounts!$A$2:$A$9,0))</f>
        <v>Operating Expense</v>
      </c>
      <c r="G609" t="s">
        <v>41</v>
      </c>
      <c r="H609" t="s">
        <v>46</v>
      </c>
      <c r="I609">
        <v>10786</v>
      </c>
    </row>
    <row r="610" spans="1:9" x14ac:dyDescent="0.3">
      <c r="A610" t="s">
        <v>827</v>
      </c>
      <c r="B610" t="s">
        <v>826</v>
      </c>
      <c r="C610">
        <f t="shared" si="9"/>
        <v>45809</v>
      </c>
      <c r="D610">
        <v>4000</v>
      </c>
      <c r="E610" t="str">
        <f>INDEX(Accounts!$B$2:$B$9,MATCH(D610,Accounts!$A$2:$A$9,0))</f>
        <v>Product Sales</v>
      </c>
      <c r="F610" t="str">
        <f>INDEX(Accounts!$C$2:$C$9,MATCH(D610,Accounts!$A$2:$A$9,0))</f>
        <v>Revenue</v>
      </c>
      <c r="G610" t="s">
        <v>43</v>
      </c>
      <c r="H610" t="s">
        <v>42</v>
      </c>
      <c r="I610">
        <v>95495</v>
      </c>
    </row>
    <row r="611" spans="1:9" x14ac:dyDescent="0.3">
      <c r="A611" t="s">
        <v>828</v>
      </c>
      <c r="B611" t="s">
        <v>826</v>
      </c>
      <c r="C611">
        <f t="shared" si="9"/>
        <v>45809</v>
      </c>
      <c r="D611">
        <v>4000</v>
      </c>
      <c r="E611" t="str">
        <f>INDEX(Accounts!$B$2:$B$9,MATCH(D611,Accounts!$A$2:$A$9,0))</f>
        <v>Product Sales</v>
      </c>
      <c r="F611" t="str">
        <f>INDEX(Accounts!$C$2:$C$9,MATCH(D611,Accounts!$A$2:$A$9,0))</f>
        <v>Revenue</v>
      </c>
      <c r="G611" t="s">
        <v>41</v>
      </c>
      <c r="H611" t="s">
        <v>46</v>
      </c>
      <c r="I611">
        <v>136770</v>
      </c>
    </row>
    <row r="612" spans="1:9" x14ac:dyDescent="0.3">
      <c r="A612" t="s">
        <v>829</v>
      </c>
      <c r="B612" t="s">
        <v>826</v>
      </c>
      <c r="C612">
        <f t="shared" si="9"/>
        <v>45809</v>
      </c>
      <c r="D612">
        <v>6400</v>
      </c>
      <c r="E612" t="str">
        <f>INDEX(Accounts!$B$2:$B$9,MATCH(D612,Accounts!$A$2:$A$9,0))</f>
        <v>Software &amp; Admin</v>
      </c>
      <c r="F612" t="str">
        <f>INDEX(Accounts!$C$2:$C$9,MATCH(D612,Accounts!$A$2:$A$9,0))</f>
        <v>Operating Expense</v>
      </c>
      <c r="G612" t="s">
        <v>41</v>
      </c>
      <c r="H612" t="s">
        <v>44</v>
      </c>
      <c r="I612">
        <v>7431</v>
      </c>
    </row>
    <row r="613" spans="1:9" x14ac:dyDescent="0.3">
      <c r="A613" t="s">
        <v>830</v>
      </c>
      <c r="B613" t="s">
        <v>826</v>
      </c>
      <c r="C613">
        <f t="shared" si="9"/>
        <v>45809</v>
      </c>
      <c r="D613">
        <v>6100</v>
      </c>
      <c r="E613" t="str">
        <f>INDEX(Accounts!$B$2:$B$9,MATCH(D613,Accounts!$A$2:$A$9,0))</f>
        <v>Marketing Expense</v>
      </c>
      <c r="F613" t="str">
        <f>INDEX(Accounts!$C$2:$C$9,MATCH(D613,Accounts!$A$2:$A$9,0))</f>
        <v>Operating Expense</v>
      </c>
      <c r="G613" t="s">
        <v>45</v>
      </c>
      <c r="H613" t="s">
        <v>44</v>
      </c>
      <c r="I613">
        <v>9449</v>
      </c>
    </row>
    <row r="614" spans="1:9" x14ac:dyDescent="0.3">
      <c r="A614" t="s">
        <v>831</v>
      </c>
      <c r="B614" t="s">
        <v>832</v>
      </c>
      <c r="C614">
        <f t="shared" si="9"/>
        <v>45809</v>
      </c>
      <c r="D614">
        <v>4000</v>
      </c>
      <c r="E614" t="str">
        <f>INDEX(Accounts!$B$2:$B$9,MATCH(D614,Accounts!$A$2:$A$9,0))</f>
        <v>Product Sales</v>
      </c>
      <c r="F614" t="str">
        <f>INDEX(Accounts!$C$2:$C$9,MATCH(D614,Accounts!$A$2:$A$9,0))</f>
        <v>Revenue</v>
      </c>
      <c r="G614" t="s">
        <v>48</v>
      </c>
      <c r="H614" t="s">
        <v>46</v>
      </c>
      <c r="I614">
        <v>165746</v>
      </c>
    </row>
    <row r="615" spans="1:9" x14ac:dyDescent="0.3">
      <c r="A615" t="s">
        <v>833</v>
      </c>
      <c r="B615" t="s">
        <v>832</v>
      </c>
      <c r="C615">
        <f t="shared" si="9"/>
        <v>45809</v>
      </c>
      <c r="D615">
        <v>4000</v>
      </c>
      <c r="E615" t="str">
        <f>INDEX(Accounts!$B$2:$B$9,MATCH(D615,Accounts!$A$2:$A$9,0))</f>
        <v>Product Sales</v>
      </c>
      <c r="F615" t="str">
        <f>INDEX(Accounts!$C$2:$C$9,MATCH(D615,Accounts!$A$2:$A$9,0))</f>
        <v>Revenue</v>
      </c>
      <c r="G615" t="s">
        <v>41</v>
      </c>
      <c r="H615" t="s">
        <v>42</v>
      </c>
      <c r="I615">
        <v>107465</v>
      </c>
    </row>
    <row r="616" spans="1:9" x14ac:dyDescent="0.3">
      <c r="A616" t="s">
        <v>834</v>
      </c>
      <c r="B616" t="s">
        <v>832</v>
      </c>
      <c r="C616">
        <f t="shared" si="9"/>
        <v>45809</v>
      </c>
      <c r="D616">
        <v>4100</v>
      </c>
      <c r="E616" t="str">
        <f>INDEX(Accounts!$B$2:$B$9,MATCH(D616,Accounts!$A$2:$A$9,0))</f>
        <v>Sales Returns &amp; Discounts</v>
      </c>
      <c r="F616" t="str">
        <f>INDEX(Accounts!$C$2:$C$9,MATCH(D616,Accounts!$A$2:$A$9,0))</f>
        <v>Contra Revenue</v>
      </c>
      <c r="G616" t="s">
        <v>47</v>
      </c>
      <c r="H616" t="s">
        <v>46</v>
      </c>
      <c r="I616">
        <v>9115</v>
      </c>
    </row>
    <row r="617" spans="1:9" x14ac:dyDescent="0.3">
      <c r="A617" t="s">
        <v>835</v>
      </c>
      <c r="B617" t="s">
        <v>832</v>
      </c>
      <c r="C617">
        <f t="shared" si="9"/>
        <v>45809</v>
      </c>
      <c r="D617">
        <v>5000</v>
      </c>
      <c r="E617" t="str">
        <f>INDEX(Accounts!$B$2:$B$9,MATCH(D617,Accounts!$A$2:$A$9,0))</f>
        <v>Cost of Goods Sold</v>
      </c>
      <c r="F617" t="str">
        <f>INDEX(Accounts!$C$2:$C$9,MATCH(D617,Accounts!$A$2:$A$9,0))</f>
        <v>COGS</v>
      </c>
      <c r="G617" t="s">
        <v>43</v>
      </c>
      <c r="H617" t="s">
        <v>44</v>
      </c>
      <c r="I617">
        <v>58797</v>
      </c>
    </row>
    <row r="618" spans="1:9" x14ac:dyDescent="0.3">
      <c r="A618" t="s">
        <v>836</v>
      </c>
      <c r="B618" t="s">
        <v>832</v>
      </c>
      <c r="C618">
        <f t="shared" si="9"/>
        <v>45809</v>
      </c>
      <c r="D618">
        <v>6200</v>
      </c>
      <c r="E618" t="str">
        <f>INDEX(Accounts!$B$2:$B$9,MATCH(D618,Accounts!$A$2:$A$9,0))</f>
        <v>Rent &amp; Utilities</v>
      </c>
      <c r="F618" t="str">
        <f>INDEX(Accounts!$C$2:$C$9,MATCH(D618,Accounts!$A$2:$A$9,0))</f>
        <v>Operating Expense</v>
      </c>
      <c r="G618" t="s">
        <v>43</v>
      </c>
      <c r="H618" t="s">
        <v>42</v>
      </c>
      <c r="I618">
        <v>14779</v>
      </c>
    </row>
    <row r="619" spans="1:9" x14ac:dyDescent="0.3">
      <c r="A619" t="s">
        <v>837</v>
      </c>
      <c r="B619" t="s">
        <v>832</v>
      </c>
      <c r="C619">
        <f t="shared" si="9"/>
        <v>45809</v>
      </c>
      <c r="D619">
        <v>6000</v>
      </c>
      <c r="E619" t="str">
        <f>INDEX(Accounts!$B$2:$B$9,MATCH(D619,Accounts!$A$2:$A$9,0))</f>
        <v>Salaries &amp; Wages</v>
      </c>
      <c r="F619" t="str">
        <f>INDEX(Accounts!$C$2:$C$9,MATCH(D619,Accounts!$A$2:$A$9,0))</f>
        <v>Operating Expense</v>
      </c>
      <c r="G619" t="s">
        <v>43</v>
      </c>
      <c r="H619" t="s">
        <v>44</v>
      </c>
      <c r="I619">
        <v>30831</v>
      </c>
    </row>
    <row r="620" spans="1:9" x14ac:dyDescent="0.3">
      <c r="A620" t="s">
        <v>838</v>
      </c>
      <c r="B620" t="s">
        <v>839</v>
      </c>
      <c r="C620">
        <f t="shared" si="9"/>
        <v>45809</v>
      </c>
      <c r="D620">
        <v>4000</v>
      </c>
      <c r="E620" t="str">
        <f>INDEX(Accounts!$B$2:$B$9,MATCH(D620,Accounts!$A$2:$A$9,0))</f>
        <v>Product Sales</v>
      </c>
      <c r="F620" t="str">
        <f>INDEX(Accounts!$C$2:$C$9,MATCH(D620,Accounts!$A$2:$A$9,0))</f>
        <v>Revenue</v>
      </c>
      <c r="G620" t="s">
        <v>47</v>
      </c>
      <c r="H620" t="s">
        <v>42</v>
      </c>
      <c r="I620">
        <v>120890</v>
      </c>
    </row>
    <row r="621" spans="1:9" x14ac:dyDescent="0.3">
      <c r="A621" t="s">
        <v>840</v>
      </c>
      <c r="B621" t="s">
        <v>839</v>
      </c>
      <c r="C621">
        <f t="shared" si="9"/>
        <v>45809</v>
      </c>
      <c r="D621">
        <v>4000</v>
      </c>
      <c r="E621" t="str">
        <f>INDEX(Accounts!$B$2:$B$9,MATCH(D621,Accounts!$A$2:$A$9,0))</f>
        <v>Product Sales</v>
      </c>
      <c r="F621" t="str">
        <f>INDEX(Accounts!$C$2:$C$9,MATCH(D621,Accounts!$A$2:$A$9,0))</f>
        <v>Revenue</v>
      </c>
      <c r="G621" t="s">
        <v>43</v>
      </c>
      <c r="H621" t="s">
        <v>44</v>
      </c>
      <c r="I621">
        <v>70227</v>
      </c>
    </row>
    <row r="622" spans="1:9" x14ac:dyDescent="0.3">
      <c r="A622" t="s">
        <v>841</v>
      </c>
      <c r="B622" t="s">
        <v>842</v>
      </c>
      <c r="C622">
        <f t="shared" si="9"/>
        <v>45809</v>
      </c>
      <c r="D622">
        <v>6000</v>
      </c>
      <c r="E622" t="str">
        <f>INDEX(Accounts!$B$2:$B$9,MATCH(D622,Accounts!$A$2:$A$9,0))</f>
        <v>Salaries &amp; Wages</v>
      </c>
      <c r="F622" t="str">
        <f>INDEX(Accounts!$C$2:$C$9,MATCH(D622,Accounts!$A$2:$A$9,0))</f>
        <v>Operating Expense</v>
      </c>
      <c r="G622" t="s">
        <v>41</v>
      </c>
      <c r="H622" t="s">
        <v>42</v>
      </c>
      <c r="I622">
        <v>26548</v>
      </c>
    </row>
    <row r="623" spans="1:9" x14ac:dyDescent="0.3">
      <c r="A623" t="s">
        <v>843</v>
      </c>
      <c r="B623" t="s">
        <v>844</v>
      </c>
      <c r="C623">
        <f t="shared" si="9"/>
        <v>45809</v>
      </c>
      <c r="D623">
        <v>6400</v>
      </c>
      <c r="E623" t="str">
        <f>INDEX(Accounts!$B$2:$B$9,MATCH(D623,Accounts!$A$2:$A$9,0))</f>
        <v>Software &amp; Admin</v>
      </c>
      <c r="F623" t="str">
        <f>INDEX(Accounts!$C$2:$C$9,MATCH(D623,Accounts!$A$2:$A$9,0))</f>
        <v>Operating Expense</v>
      </c>
      <c r="G623" t="s">
        <v>45</v>
      </c>
      <c r="H623" t="s">
        <v>42</v>
      </c>
      <c r="I623">
        <v>2531</v>
      </c>
    </row>
    <row r="624" spans="1:9" x14ac:dyDescent="0.3">
      <c r="A624" t="s">
        <v>845</v>
      </c>
      <c r="B624" t="s">
        <v>844</v>
      </c>
      <c r="C624">
        <f t="shared" si="9"/>
        <v>45809</v>
      </c>
      <c r="D624">
        <v>6000</v>
      </c>
      <c r="E624" t="str">
        <f>INDEX(Accounts!$B$2:$B$9,MATCH(D624,Accounts!$A$2:$A$9,0))</f>
        <v>Salaries &amp; Wages</v>
      </c>
      <c r="F624" t="str">
        <f>INDEX(Accounts!$C$2:$C$9,MATCH(D624,Accounts!$A$2:$A$9,0))</f>
        <v>Operating Expense</v>
      </c>
      <c r="G624" t="s">
        <v>43</v>
      </c>
      <c r="H624" t="s">
        <v>44</v>
      </c>
      <c r="I624">
        <v>31090</v>
      </c>
    </row>
    <row r="625" spans="1:9" x14ac:dyDescent="0.3">
      <c r="A625" t="s">
        <v>846</v>
      </c>
      <c r="B625" t="s">
        <v>844</v>
      </c>
      <c r="C625">
        <f t="shared" si="9"/>
        <v>45809</v>
      </c>
      <c r="D625">
        <v>4000</v>
      </c>
      <c r="E625" t="str">
        <f>INDEX(Accounts!$B$2:$B$9,MATCH(D625,Accounts!$A$2:$A$9,0))</f>
        <v>Product Sales</v>
      </c>
      <c r="F625" t="str">
        <f>INDEX(Accounts!$C$2:$C$9,MATCH(D625,Accounts!$A$2:$A$9,0))</f>
        <v>Revenue</v>
      </c>
      <c r="G625" t="s">
        <v>47</v>
      </c>
      <c r="H625" t="s">
        <v>46</v>
      </c>
      <c r="I625">
        <v>88940</v>
      </c>
    </row>
    <row r="626" spans="1:9" x14ac:dyDescent="0.3">
      <c r="A626" t="s">
        <v>847</v>
      </c>
      <c r="B626" t="s">
        <v>844</v>
      </c>
      <c r="C626">
        <f t="shared" si="9"/>
        <v>45809</v>
      </c>
      <c r="D626">
        <v>6000</v>
      </c>
      <c r="E626" t="str">
        <f>INDEX(Accounts!$B$2:$B$9,MATCH(D626,Accounts!$A$2:$A$9,0))</f>
        <v>Salaries &amp; Wages</v>
      </c>
      <c r="F626" t="str">
        <f>INDEX(Accounts!$C$2:$C$9,MATCH(D626,Accounts!$A$2:$A$9,0))</f>
        <v>Operating Expense</v>
      </c>
      <c r="G626" t="s">
        <v>43</v>
      </c>
      <c r="H626" t="s">
        <v>46</v>
      </c>
      <c r="I626">
        <v>25123</v>
      </c>
    </row>
    <row r="627" spans="1:9" x14ac:dyDescent="0.3">
      <c r="A627" t="s">
        <v>848</v>
      </c>
      <c r="B627" t="s">
        <v>844</v>
      </c>
      <c r="C627">
        <f t="shared" si="9"/>
        <v>45809</v>
      </c>
      <c r="D627">
        <v>5000</v>
      </c>
      <c r="E627" t="str">
        <f>INDEX(Accounts!$B$2:$B$9,MATCH(D627,Accounts!$A$2:$A$9,0))</f>
        <v>Cost of Goods Sold</v>
      </c>
      <c r="F627" t="str">
        <f>INDEX(Accounts!$C$2:$C$9,MATCH(D627,Accounts!$A$2:$A$9,0))</f>
        <v>COGS</v>
      </c>
      <c r="G627" t="s">
        <v>45</v>
      </c>
      <c r="H627" t="s">
        <v>44</v>
      </c>
      <c r="I627">
        <v>54539</v>
      </c>
    </row>
    <row r="628" spans="1:9" x14ac:dyDescent="0.3">
      <c r="A628" t="s">
        <v>849</v>
      </c>
      <c r="B628" t="s">
        <v>844</v>
      </c>
      <c r="C628">
        <f t="shared" si="9"/>
        <v>45809</v>
      </c>
      <c r="D628">
        <v>6200</v>
      </c>
      <c r="E628" t="str">
        <f>INDEX(Accounts!$B$2:$B$9,MATCH(D628,Accounts!$A$2:$A$9,0))</f>
        <v>Rent &amp; Utilities</v>
      </c>
      <c r="F628" t="str">
        <f>INDEX(Accounts!$C$2:$C$9,MATCH(D628,Accounts!$A$2:$A$9,0))</f>
        <v>Operating Expense</v>
      </c>
      <c r="G628" t="s">
        <v>43</v>
      </c>
      <c r="H628" t="s">
        <v>42</v>
      </c>
      <c r="I628">
        <v>5588</v>
      </c>
    </row>
    <row r="629" spans="1:9" x14ac:dyDescent="0.3">
      <c r="A629" t="s">
        <v>850</v>
      </c>
      <c r="B629" t="s">
        <v>851</v>
      </c>
      <c r="C629">
        <f t="shared" si="9"/>
        <v>45809</v>
      </c>
      <c r="D629">
        <v>6000</v>
      </c>
      <c r="E629" t="str">
        <f>INDEX(Accounts!$B$2:$B$9,MATCH(D629,Accounts!$A$2:$A$9,0))</f>
        <v>Salaries &amp; Wages</v>
      </c>
      <c r="F629" t="str">
        <f>INDEX(Accounts!$C$2:$C$9,MATCH(D629,Accounts!$A$2:$A$9,0))</f>
        <v>Operating Expense</v>
      </c>
      <c r="G629" t="s">
        <v>43</v>
      </c>
      <c r="H629" t="s">
        <v>46</v>
      </c>
      <c r="I629">
        <v>14678</v>
      </c>
    </row>
    <row r="630" spans="1:9" x14ac:dyDescent="0.3">
      <c r="A630" t="s">
        <v>852</v>
      </c>
      <c r="B630" t="s">
        <v>851</v>
      </c>
      <c r="C630">
        <f t="shared" si="9"/>
        <v>45809</v>
      </c>
      <c r="D630">
        <v>6100</v>
      </c>
      <c r="E630" t="str">
        <f>INDEX(Accounts!$B$2:$B$9,MATCH(D630,Accounts!$A$2:$A$9,0))</f>
        <v>Marketing Expense</v>
      </c>
      <c r="F630" t="str">
        <f>INDEX(Accounts!$C$2:$C$9,MATCH(D630,Accounts!$A$2:$A$9,0))</f>
        <v>Operating Expense</v>
      </c>
      <c r="G630" t="s">
        <v>41</v>
      </c>
      <c r="H630" t="s">
        <v>46</v>
      </c>
      <c r="I630">
        <v>9563</v>
      </c>
    </row>
    <row r="631" spans="1:9" x14ac:dyDescent="0.3">
      <c r="A631" t="s">
        <v>853</v>
      </c>
      <c r="B631" t="s">
        <v>851</v>
      </c>
      <c r="C631">
        <f t="shared" si="9"/>
        <v>45809</v>
      </c>
      <c r="D631">
        <v>5000</v>
      </c>
      <c r="E631" t="str">
        <f>INDEX(Accounts!$B$2:$B$9,MATCH(D631,Accounts!$A$2:$A$9,0))</f>
        <v>Cost of Goods Sold</v>
      </c>
      <c r="F631" t="str">
        <f>INDEX(Accounts!$C$2:$C$9,MATCH(D631,Accounts!$A$2:$A$9,0))</f>
        <v>COGS</v>
      </c>
      <c r="G631" t="s">
        <v>45</v>
      </c>
      <c r="H631" t="s">
        <v>42</v>
      </c>
      <c r="I631">
        <v>44911</v>
      </c>
    </row>
    <row r="632" spans="1:9" x14ac:dyDescent="0.3">
      <c r="A632" t="s">
        <v>854</v>
      </c>
      <c r="B632" t="s">
        <v>851</v>
      </c>
      <c r="C632">
        <f t="shared" si="9"/>
        <v>45809</v>
      </c>
      <c r="D632">
        <v>5000</v>
      </c>
      <c r="E632" t="str">
        <f>INDEX(Accounts!$B$2:$B$9,MATCH(D632,Accounts!$A$2:$A$9,0))</f>
        <v>Cost of Goods Sold</v>
      </c>
      <c r="F632" t="str">
        <f>INDEX(Accounts!$C$2:$C$9,MATCH(D632,Accounts!$A$2:$A$9,0))</f>
        <v>COGS</v>
      </c>
      <c r="G632" t="s">
        <v>41</v>
      </c>
      <c r="H632" t="s">
        <v>44</v>
      </c>
      <c r="I632">
        <v>61550</v>
      </c>
    </row>
    <row r="633" spans="1:9" x14ac:dyDescent="0.3">
      <c r="A633" t="s">
        <v>855</v>
      </c>
      <c r="B633" t="s">
        <v>856</v>
      </c>
      <c r="C633">
        <f t="shared" si="9"/>
        <v>45809</v>
      </c>
      <c r="D633">
        <v>4000</v>
      </c>
      <c r="E633" t="str">
        <f>INDEX(Accounts!$B$2:$B$9,MATCH(D633,Accounts!$A$2:$A$9,0))</f>
        <v>Product Sales</v>
      </c>
      <c r="F633" t="str">
        <f>INDEX(Accounts!$C$2:$C$9,MATCH(D633,Accounts!$A$2:$A$9,0))</f>
        <v>Revenue</v>
      </c>
      <c r="G633" t="s">
        <v>47</v>
      </c>
      <c r="H633" t="s">
        <v>46</v>
      </c>
      <c r="I633">
        <v>43129</v>
      </c>
    </row>
    <row r="634" spans="1:9" x14ac:dyDescent="0.3">
      <c r="A634" t="s">
        <v>857</v>
      </c>
      <c r="B634" t="s">
        <v>856</v>
      </c>
      <c r="C634">
        <f t="shared" si="9"/>
        <v>45809</v>
      </c>
      <c r="D634">
        <v>5000</v>
      </c>
      <c r="E634" t="str">
        <f>INDEX(Accounts!$B$2:$B$9,MATCH(D634,Accounts!$A$2:$A$9,0))</f>
        <v>Cost of Goods Sold</v>
      </c>
      <c r="F634" t="str">
        <f>INDEX(Accounts!$C$2:$C$9,MATCH(D634,Accounts!$A$2:$A$9,0))</f>
        <v>COGS</v>
      </c>
      <c r="G634" t="s">
        <v>43</v>
      </c>
      <c r="H634" t="s">
        <v>44</v>
      </c>
      <c r="I634">
        <v>47186</v>
      </c>
    </row>
    <row r="635" spans="1:9" x14ac:dyDescent="0.3">
      <c r="A635" t="s">
        <v>858</v>
      </c>
      <c r="B635" t="s">
        <v>856</v>
      </c>
      <c r="C635">
        <f t="shared" si="9"/>
        <v>45809</v>
      </c>
      <c r="D635">
        <v>5000</v>
      </c>
      <c r="E635" t="str">
        <f>INDEX(Accounts!$B$2:$B$9,MATCH(D635,Accounts!$A$2:$A$9,0))</f>
        <v>Cost of Goods Sold</v>
      </c>
      <c r="F635" t="str">
        <f>INDEX(Accounts!$C$2:$C$9,MATCH(D635,Accounts!$A$2:$A$9,0))</f>
        <v>COGS</v>
      </c>
      <c r="G635" t="s">
        <v>43</v>
      </c>
      <c r="H635" t="s">
        <v>42</v>
      </c>
      <c r="I635">
        <v>39638</v>
      </c>
    </row>
    <row r="636" spans="1:9" x14ac:dyDescent="0.3">
      <c r="A636" t="s">
        <v>859</v>
      </c>
      <c r="B636" t="s">
        <v>856</v>
      </c>
      <c r="C636">
        <f t="shared" si="9"/>
        <v>45809</v>
      </c>
      <c r="D636">
        <v>4000</v>
      </c>
      <c r="E636" t="str">
        <f>INDEX(Accounts!$B$2:$B$9,MATCH(D636,Accounts!$A$2:$A$9,0))</f>
        <v>Product Sales</v>
      </c>
      <c r="F636" t="str">
        <f>INDEX(Accounts!$C$2:$C$9,MATCH(D636,Accounts!$A$2:$A$9,0))</f>
        <v>Revenue</v>
      </c>
      <c r="G636" t="s">
        <v>41</v>
      </c>
      <c r="H636" t="s">
        <v>46</v>
      </c>
      <c r="I636">
        <v>41400</v>
      </c>
    </row>
    <row r="637" spans="1:9" x14ac:dyDescent="0.3">
      <c r="A637" t="s">
        <v>860</v>
      </c>
      <c r="B637" t="s">
        <v>856</v>
      </c>
      <c r="C637">
        <f t="shared" si="9"/>
        <v>45809</v>
      </c>
      <c r="D637">
        <v>5000</v>
      </c>
      <c r="E637" t="str">
        <f>INDEX(Accounts!$B$2:$B$9,MATCH(D637,Accounts!$A$2:$A$9,0))</f>
        <v>Cost of Goods Sold</v>
      </c>
      <c r="F637" t="str">
        <f>INDEX(Accounts!$C$2:$C$9,MATCH(D637,Accounts!$A$2:$A$9,0))</f>
        <v>COGS</v>
      </c>
      <c r="G637" t="s">
        <v>45</v>
      </c>
      <c r="H637" t="s">
        <v>46</v>
      </c>
      <c r="I637">
        <v>36060</v>
      </c>
    </row>
    <row r="638" spans="1:9" x14ac:dyDescent="0.3">
      <c r="A638" t="s">
        <v>861</v>
      </c>
      <c r="B638" t="s">
        <v>856</v>
      </c>
      <c r="C638">
        <f t="shared" si="9"/>
        <v>45809</v>
      </c>
      <c r="D638">
        <v>6300</v>
      </c>
      <c r="E638" t="str">
        <f>INDEX(Accounts!$B$2:$B$9,MATCH(D638,Accounts!$A$2:$A$9,0))</f>
        <v>Logistics Expense</v>
      </c>
      <c r="F638" t="str">
        <f>INDEX(Accounts!$C$2:$C$9,MATCH(D638,Accounts!$A$2:$A$9,0))</f>
        <v>Operating Expense</v>
      </c>
      <c r="G638" t="s">
        <v>47</v>
      </c>
      <c r="H638" t="s">
        <v>44</v>
      </c>
      <c r="I638">
        <v>4104</v>
      </c>
    </row>
    <row r="639" spans="1:9" x14ac:dyDescent="0.3">
      <c r="A639" t="s">
        <v>862</v>
      </c>
      <c r="B639" t="s">
        <v>863</v>
      </c>
      <c r="C639">
        <f t="shared" si="9"/>
        <v>45809</v>
      </c>
      <c r="D639">
        <v>6100</v>
      </c>
      <c r="E639" t="str">
        <f>INDEX(Accounts!$B$2:$B$9,MATCH(D639,Accounts!$A$2:$A$9,0))</f>
        <v>Marketing Expense</v>
      </c>
      <c r="F639" t="str">
        <f>INDEX(Accounts!$C$2:$C$9,MATCH(D639,Accounts!$A$2:$A$9,0))</f>
        <v>Operating Expense</v>
      </c>
      <c r="G639" t="s">
        <v>43</v>
      </c>
      <c r="H639" t="s">
        <v>46</v>
      </c>
      <c r="I639">
        <v>14811</v>
      </c>
    </row>
    <row r="640" spans="1:9" x14ac:dyDescent="0.3">
      <c r="A640" t="s">
        <v>864</v>
      </c>
      <c r="B640" t="s">
        <v>863</v>
      </c>
      <c r="C640">
        <f t="shared" si="9"/>
        <v>45809</v>
      </c>
      <c r="D640">
        <v>5000</v>
      </c>
      <c r="E640" t="str">
        <f>INDEX(Accounts!$B$2:$B$9,MATCH(D640,Accounts!$A$2:$A$9,0))</f>
        <v>Cost of Goods Sold</v>
      </c>
      <c r="F640" t="str">
        <f>INDEX(Accounts!$C$2:$C$9,MATCH(D640,Accounts!$A$2:$A$9,0))</f>
        <v>COGS</v>
      </c>
      <c r="G640" t="s">
        <v>43</v>
      </c>
      <c r="H640" t="s">
        <v>46</v>
      </c>
      <c r="I640">
        <v>22485</v>
      </c>
    </row>
    <row r="641" spans="1:9" x14ac:dyDescent="0.3">
      <c r="A641" t="s">
        <v>865</v>
      </c>
      <c r="B641" t="s">
        <v>863</v>
      </c>
      <c r="C641">
        <f t="shared" si="9"/>
        <v>45809</v>
      </c>
      <c r="D641">
        <v>6400</v>
      </c>
      <c r="E641" t="str">
        <f>INDEX(Accounts!$B$2:$B$9,MATCH(D641,Accounts!$A$2:$A$9,0))</f>
        <v>Software &amp; Admin</v>
      </c>
      <c r="F641" t="str">
        <f>INDEX(Accounts!$C$2:$C$9,MATCH(D641,Accounts!$A$2:$A$9,0))</f>
        <v>Operating Expense</v>
      </c>
      <c r="G641" t="s">
        <v>45</v>
      </c>
      <c r="H641" t="s">
        <v>46</v>
      </c>
      <c r="I641">
        <v>6869</v>
      </c>
    </row>
    <row r="642" spans="1:9" x14ac:dyDescent="0.3">
      <c r="A642" t="s">
        <v>866</v>
      </c>
      <c r="B642" t="s">
        <v>867</v>
      </c>
      <c r="C642">
        <f t="shared" ref="C642:C705" si="10">DATE(YEAR(B642),MONTH(B642),1)</f>
        <v>45809</v>
      </c>
      <c r="D642">
        <v>4100</v>
      </c>
      <c r="E642" t="str">
        <f>INDEX(Accounts!$B$2:$B$9,MATCH(D642,Accounts!$A$2:$A$9,0))</f>
        <v>Sales Returns &amp; Discounts</v>
      </c>
      <c r="F642" t="str">
        <f>INDEX(Accounts!$C$2:$C$9,MATCH(D642,Accounts!$A$2:$A$9,0))</f>
        <v>Contra Revenue</v>
      </c>
      <c r="G642" t="s">
        <v>45</v>
      </c>
      <c r="H642" t="s">
        <v>44</v>
      </c>
      <c r="I642">
        <v>9038</v>
      </c>
    </row>
    <row r="643" spans="1:9" x14ac:dyDescent="0.3">
      <c r="A643" t="s">
        <v>868</v>
      </c>
      <c r="B643" t="s">
        <v>869</v>
      </c>
      <c r="C643">
        <f t="shared" si="10"/>
        <v>45809</v>
      </c>
      <c r="D643">
        <v>5000</v>
      </c>
      <c r="E643" t="str">
        <f>INDEX(Accounts!$B$2:$B$9,MATCH(D643,Accounts!$A$2:$A$9,0))</f>
        <v>Cost of Goods Sold</v>
      </c>
      <c r="F643" t="str">
        <f>INDEX(Accounts!$C$2:$C$9,MATCH(D643,Accounts!$A$2:$A$9,0))</f>
        <v>COGS</v>
      </c>
      <c r="G643" t="s">
        <v>48</v>
      </c>
      <c r="H643" t="s">
        <v>42</v>
      </c>
      <c r="I643">
        <v>66641</v>
      </c>
    </row>
    <row r="644" spans="1:9" x14ac:dyDescent="0.3">
      <c r="A644" t="s">
        <v>870</v>
      </c>
      <c r="B644" t="s">
        <v>869</v>
      </c>
      <c r="C644">
        <f t="shared" si="10"/>
        <v>45809</v>
      </c>
      <c r="D644">
        <v>4000</v>
      </c>
      <c r="E644" t="str">
        <f>INDEX(Accounts!$B$2:$B$9,MATCH(D644,Accounts!$A$2:$A$9,0))</f>
        <v>Product Sales</v>
      </c>
      <c r="F644" t="str">
        <f>INDEX(Accounts!$C$2:$C$9,MATCH(D644,Accounts!$A$2:$A$9,0))</f>
        <v>Revenue</v>
      </c>
      <c r="G644" t="s">
        <v>41</v>
      </c>
      <c r="H644" t="s">
        <v>44</v>
      </c>
      <c r="I644">
        <v>65428</v>
      </c>
    </row>
    <row r="645" spans="1:9" x14ac:dyDescent="0.3">
      <c r="A645" t="s">
        <v>871</v>
      </c>
      <c r="B645" t="s">
        <v>869</v>
      </c>
      <c r="C645">
        <f t="shared" si="10"/>
        <v>45809</v>
      </c>
      <c r="D645">
        <v>6100</v>
      </c>
      <c r="E645" t="str">
        <f>INDEX(Accounts!$B$2:$B$9,MATCH(D645,Accounts!$A$2:$A$9,0))</f>
        <v>Marketing Expense</v>
      </c>
      <c r="F645" t="str">
        <f>INDEX(Accounts!$C$2:$C$9,MATCH(D645,Accounts!$A$2:$A$9,0))</f>
        <v>Operating Expense</v>
      </c>
      <c r="G645" t="s">
        <v>41</v>
      </c>
      <c r="H645" t="s">
        <v>44</v>
      </c>
      <c r="I645">
        <v>5683</v>
      </c>
    </row>
    <row r="646" spans="1:9" x14ac:dyDescent="0.3">
      <c r="A646" t="s">
        <v>872</v>
      </c>
      <c r="B646" t="s">
        <v>873</v>
      </c>
      <c r="C646">
        <f t="shared" si="10"/>
        <v>45809</v>
      </c>
      <c r="D646">
        <v>6200</v>
      </c>
      <c r="E646" t="str">
        <f>INDEX(Accounts!$B$2:$B$9,MATCH(D646,Accounts!$A$2:$A$9,0))</f>
        <v>Rent &amp; Utilities</v>
      </c>
      <c r="F646" t="str">
        <f>INDEX(Accounts!$C$2:$C$9,MATCH(D646,Accounts!$A$2:$A$9,0))</f>
        <v>Operating Expense</v>
      </c>
      <c r="G646" t="s">
        <v>45</v>
      </c>
      <c r="H646" t="s">
        <v>46</v>
      </c>
      <c r="I646">
        <v>8435</v>
      </c>
    </row>
    <row r="647" spans="1:9" x14ac:dyDescent="0.3">
      <c r="A647" t="s">
        <v>874</v>
      </c>
      <c r="B647" t="s">
        <v>873</v>
      </c>
      <c r="C647">
        <f t="shared" si="10"/>
        <v>45809</v>
      </c>
      <c r="D647">
        <v>6000</v>
      </c>
      <c r="E647" t="str">
        <f>INDEX(Accounts!$B$2:$B$9,MATCH(D647,Accounts!$A$2:$A$9,0))</f>
        <v>Salaries &amp; Wages</v>
      </c>
      <c r="F647" t="str">
        <f>INDEX(Accounts!$C$2:$C$9,MATCH(D647,Accounts!$A$2:$A$9,0))</f>
        <v>Operating Expense</v>
      </c>
      <c r="G647" t="s">
        <v>47</v>
      </c>
      <c r="H647" t="s">
        <v>44</v>
      </c>
      <c r="I647">
        <v>19425</v>
      </c>
    </row>
    <row r="648" spans="1:9" x14ac:dyDescent="0.3">
      <c r="A648" t="s">
        <v>875</v>
      </c>
      <c r="B648" t="s">
        <v>873</v>
      </c>
      <c r="C648">
        <f t="shared" si="10"/>
        <v>45809</v>
      </c>
      <c r="D648">
        <v>6200</v>
      </c>
      <c r="E648" t="str">
        <f>INDEX(Accounts!$B$2:$B$9,MATCH(D648,Accounts!$A$2:$A$9,0))</f>
        <v>Rent &amp; Utilities</v>
      </c>
      <c r="F648" t="str">
        <f>INDEX(Accounts!$C$2:$C$9,MATCH(D648,Accounts!$A$2:$A$9,0))</f>
        <v>Operating Expense</v>
      </c>
      <c r="G648" t="s">
        <v>47</v>
      </c>
      <c r="H648" t="s">
        <v>46</v>
      </c>
      <c r="I648">
        <v>11180</v>
      </c>
    </row>
    <row r="649" spans="1:9" x14ac:dyDescent="0.3">
      <c r="A649" t="s">
        <v>876</v>
      </c>
      <c r="B649" t="s">
        <v>873</v>
      </c>
      <c r="C649">
        <f t="shared" si="10"/>
        <v>45809</v>
      </c>
      <c r="D649">
        <v>6400</v>
      </c>
      <c r="E649" t="str">
        <f>INDEX(Accounts!$B$2:$B$9,MATCH(D649,Accounts!$A$2:$A$9,0))</f>
        <v>Software &amp; Admin</v>
      </c>
      <c r="F649" t="str">
        <f>INDEX(Accounts!$C$2:$C$9,MATCH(D649,Accounts!$A$2:$A$9,0))</f>
        <v>Operating Expense</v>
      </c>
      <c r="G649" t="s">
        <v>41</v>
      </c>
      <c r="H649" t="s">
        <v>44</v>
      </c>
      <c r="I649">
        <v>6620</v>
      </c>
    </row>
    <row r="650" spans="1:9" x14ac:dyDescent="0.3">
      <c r="A650" t="s">
        <v>877</v>
      </c>
      <c r="B650" t="s">
        <v>873</v>
      </c>
      <c r="C650">
        <f t="shared" si="10"/>
        <v>45809</v>
      </c>
      <c r="D650">
        <v>6000</v>
      </c>
      <c r="E650" t="str">
        <f>INDEX(Accounts!$B$2:$B$9,MATCH(D650,Accounts!$A$2:$A$9,0))</f>
        <v>Salaries &amp; Wages</v>
      </c>
      <c r="F650" t="str">
        <f>INDEX(Accounts!$C$2:$C$9,MATCH(D650,Accounts!$A$2:$A$9,0))</f>
        <v>Operating Expense</v>
      </c>
      <c r="G650" t="s">
        <v>47</v>
      </c>
      <c r="H650" t="s">
        <v>46</v>
      </c>
      <c r="I650">
        <v>24338</v>
      </c>
    </row>
    <row r="651" spans="1:9" x14ac:dyDescent="0.3">
      <c r="A651" t="s">
        <v>878</v>
      </c>
      <c r="B651" t="s">
        <v>873</v>
      </c>
      <c r="C651">
        <f t="shared" si="10"/>
        <v>45809</v>
      </c>
      <c r="D651">
        <v>5000</v>
      </c>
      <c r="E651" t="str">
        <f>INDEX(Accounts!$B$2:$B$9,MATCH(D651,Accounts!$A$2:$A$9,0))</f>
        <v>Cost of Goods Sold</v>
      </c>
      <c r="F651" t="str">
        <f>INDEX(Accounts!$C$2:$C$9,MATCH(D651,Accounts!$A$2:$A$9,0))</f>
        <v>COGS</v>
      </c>
      <c r="G651" t="s">
        <v>41</v>
      </c>
      <c r="H651" t="s">
        <v>44</v>
      </c>
      <c r="I651">
        <v>8628</v>
      </c>
    </row>
    <row r="652" spans="1:9" x14ac:dyDescent="0.3">
      <c r="A652" t="s">
        <v>879</v>
      </c>
      <c r="B652" t="s">
        <v>873</v>
      </c>
      <c r="C652">
        <f t="shared" si="10"/>
        <v>45809</v>
      </c>
      <c r="D652">
        <v>5000</v>
      </c>
      <c r="E652" t="str">
        <f>INDEX(Accounts!$B$2:$B$9,MATCH(D652,Accounts!$A$2:$A$9,0))</f>
        <v>Cost of Goods Sold</v>
      </c>
      <c r="F652" t="str">
        <f>INDEX(Accounts!$C$2:$C$9,MATCH(D652,Accounts!$A$2:$A$9,0))</f>
        <v>COGS</v>
      </c>
      <c r="G652" t="s">
        <v>41</v>
      </c>
      <c r="H652" t="s">
        <v>46</v>
      </c>
      <c r="I652">
        <v>10022</v>
      </c>
    </row>
    <row r="653" spans="1:9" x14ac:dyDescent="0.3">
      <c r="A653" t="s">
        <v>880</v>
      </c>
      <c r="B653" t="s">
        <v>873</v>
      </c>
      <c r="C653">
        <f t="shared" si="10"/>
        <v>45809</v>
      </c>
      <c r="D653">
        <v>6000</v>
      </c>
      <c r="E653" t="str">
        <f>INDEX(Accounts!$B$2:$B$9,MATCH(D653,Accounts!$A$2:$A$9,0))</f>
        <v>Salaries &amp; Wages</v>
      </c>
      <c r="F653" t="str">
        <f>INDEX(Accounts!$C$2:$C$9,MATCH(D653,Accounts!$A$2:$A$9,0))</f>
        <v>Operating Expense</v>
      </c>
      <c r="G653" t="s">
        <v>41</v>
      </c>
      <c r="H653" t="s">
        <v>42</v>
      </c>
      <c r="I653">
        <v>19736</v>
      </c>
    </row>
    <row r="654" spans="1:9" x14ac:dyDescent="0.3">
      <c r="A654" t="s">
        <v>881</v>
      </c>
      <c r="B654" t="s">
        <v>873</v>
      </c>
      <c r="C654">
        <f t="shared" si="10"/>
        <v>45809</v>
      </c>
      <c r="D654">
        <v>4000</v>
      </c>
      <c r="E654" t="str">
        <f>INDEX(Accounts!$B$2:$B$9,MATCH(D654,Accounts!$A$2:$A$9,0))</f>
        <v>Product Sales</v>
      </c>
      <c r="F654" t="str">
        <f>INDEX(Accounts!$C$2:$C$9,MATCH(D654,Accounts!$A$2:$A$9,0))</f>
        <v>Revenue</v>
      </c>
      <c r="G654" t="s">
        <v>41</v>
      </c>
      <c r="H654" t="s">
        <v>44</v>
      </c>
      <c r="I654">
        <v>113540</v>
      </c>
    </row>
    <row r="655" spans="1:9" x14ac:dyDescent="0.3">
      <c r="A655" t="s">
        <v>882</v>
      </c>
      <c r="B655" t="s">
        <v>883</v>
      </c>
      <c r="C655">
        <f t="shared" si="10"/>
        <v>45809</v>
      </c>
      <c r="D655">
        <v>5000</v>
      </c>
      <c r="E655" t="str">
        <f>INDEX(Accounts!$B$2:$B$9,MATCH(D655,Accounts!$A$2:$A$9,0))</f>
        <v>Cost of Goods Sold</v>
      </c>
      <c r="F655" t="str">
        <f>INDEX(Accounts!$C$2:$C$9,MATCH(D655,Accounts!$A$2:$A$9,0))</f>
        <v>COGS</v>
      </c>
      <c r="G655" t="s">
        <v>41</v>
      </c>
      <c r="H655" t="s">
        <v>44</v>
      </c>
      <c r="I655">
        <v>59063</v>
      </c>
    </row>
    <row r="656" spans="1:9" x14ac:dyDescent="0.3">
      <c r="A656" t="s">
        <v>884</v>
      </c>
      <c r="B656" t="s">
        <v>883</v>
      </c>
      <c r="C656">
        <f t="shared" si="10"/>
        <v>45809</v>
      </c>
      <c r="D656">
        <v>6000</v>
      </c>
      <c r="E656" t="str">
        <f>INDEX(Accounts!$B$2:$B$9,MATCH(D656,Accounts!$A$2:$A$9,0))</f>
        <v>Salaries &amp; Wages</v>
      </c>
      <c r="F656" t="str">
        <f>INDEX(Accounts!$C$2:$C$9,MATCH(D656,Accounts!$A$2:$A$9,0))</f>
        <v>Operating Expense</v>
      </c>
      <c r="G656" t="s">
        <v>45</v>
      </c>
      <c r="H656" t="s">
        <v>42</v>
      </c>
      <c r="I656">
        <v>13181</v>
      </c>
    </row>
    <row r="657" spans="1:9" x14ac:dyDescent="0.3">
      <c r="A657" t="s">
        <v>885</v>
      </c>
      <c r="B657" t="s">
        <v>883</v>
      </c>
      <c r="C657">
        <f t="shared" si="10"/>
        <v>45809</v>
      </c>
      <c r="D657">
        <v>4000</v>
      </c>
      <c r="E657" t="str">
        <f>INDEX(Accounts!$B$2:$B$9,MATCH(D657,Accounts!$A$2:$A$9,0))</f>
        <v>Product Sales</v>
      </c>
      <c r="F657" t="str">
        <f>INDEX(Accounts!$C$2:$C$9,MATCH(D657,Accounts!$A$2:$A$9,0))</f>
        <v>Revenue</v>
      </c>
      <c r="G657" t="s">
        <v>43</v>
      </c>
      <c r="H657" t="s">
        <v>42</v>
      </c>
      <c r="I657">
        <v>137628</v>
      </c>
    </row>
    <row r="658" spans="1:9" x14ac:dyDescent="0.3">
      <c r="A658" t="s">
        <v>886</v>
      </c>
      <c r="B658" t="s">
        <v>883</v>
      </c>
      <c r="C658">
        <f t="shared" si="10"/>
        <v>45809</v>
      </c>
      <c r="D658">
        <v>6300</v>
      </c>
      <c r="E658" t="str">
        <f>INDEX(Accounts!$B$2:$B$9,MATCH(D658,Accounts!$A$2:$A$9,0))</f>
        <v>Logistics Expense</v>
      </c>
      <c r="F658" t="str">
        <f>INDEX(Accounts!$C$2:$C$9,MATCH(D658,Accounts!$A$2:$A$9,0))</f>
        <v>Operating Expense</v>
      </c>
      <c r="G658" t="s">
        <v>41</v>
      </c>
      <c r="H658" t="s">
        <v>46</v>
      </c>
      <c r="I658">
        <v>7405</v>
      </c>
    </row>
    <row r="659" spans="1:9" x14ac:dyDescent="0.3">
      <c r="A659" t="s">
        <v>887</v>
      </c>
      <c r="B659" t="s">
        <v>888</v>
      </c>
      <c r="C659">
        <f t="shared" si="10"/>
        <v>45809</v>
      </c>
      <c r="D659">
        <v>6000</v>
      </c>
      <c r="E659" t="str">
        <f>INDEX(Accounts!$B$2:$B$9,MATCH(D659,Accounts!$A$2:$A$9,0))</f>
        <v>Salaries &amp; Wages</v>
      </c>
      <c r="F659" t="str">
        <f>INDEX(Accounts!$C$2:$C$9,MATCH(D659,Accounts!$A$2:$A$9,0))</f>
        <v>Operating Expense</v>
      </c>
      <c r="G659" t="s">
        <v>45</v>
      </c>
      <c r="H659" t="s">
        <v>42</v>
      </c>
      <c r="I659">
        <v>32866</v>
      </c>
    </row>
    <row r="660" spans="1:9" x14ac:dyDescent="0.3">
      <c r="A660" t="s">
        <v>889</v>
      </c>
      <c r="B660" t="s">
        <v>888</v>
      </c>
      <c r="C660">
        <f t="shared" si="10"/>
        <v>45809</v>
      </c>
      <c r="D660">
        <v>4000</v>
      </c>
      <c r="E660" t="str">
        <f>INDEX(Accounts!$B$2:$B$9,MATCH(D660,Accounts!$A$2:$A$9,0))</f>
        <v>Product Sales</v>
      </c>
      <c r="F660" t="str">
        <f>INDEX(Accounts!$C$2:$C$9,MATCH(D660,Accounts!$A$2:$A$9,0))</f>
        <v>Revenue</v>
      </c>
      <c r="G660" t="s">
        <v>43</v>
      </c>
      <c r="H660" t="s">
        <v>44</v>
      </c>
      <c r="I660">
        <v>26166</v>
      </c>
    </row>
    <row r="661" spans="1:9" x14ac:dyDescent="0.3">
      <c r="A661" t="s">
        <v>890</v>
      </c>
      <c r="B661" t="s">
        <v>891</v>
      </c>
      <c r="C661">
        <f t="shared" si="10"/>
        <v>45809</v>
      </c>
      <c r="D661">
        <v>4000</v>
      </c>
      <c r="E661" t="str">
        <f>INDEX(Accounts!$B$2:$B$9,MATCH(D661,Accounts!$A$2:$A$9,0))</f>
        <v>Product Sales</v>
      </c>
      <c r="F661" t="str">
        <f>INDEX(Accounts!$C$2:$C$9,MATCH(D661,Accounts!$A$2:$A$9,0))</f>
        <v>Revenue</v>
      </c>
      <c r="G661" t="s">
        <v>41</v>
      </c>
      <c r="H661" t="s">
        <v>42</v>
      </c>
      <c r="I661">
        <v>173555</v>
      </c>
    </row>
    <row r="662" spans="1:9" x14ac:dyDescent="0.3">
      <c r="A662" t="s">
        <v>892</v>
      </c>
      <c r="B662" t="s">
        <v>893</v>
      </c>
      <c r="C662">
        <f t="shared" si="10"/>
        <v>45839</v>
      </c>
      <c r="D662">
        <v>4100</v>
      </c>
      <c r="E662" t="str">
        <f>INDEX(Accounts!$B$2:$B$9,MATCH(D662,Accounts!$A$2:$A$9,0))</f>
        <v>Sales Returns &amp; Discounts</v>
      </c>
      <c r="F662" t="str">
        <f>INDEX(Accounts!$C$2:$C$9,MATCH(D662,Accounts!$A$2:$A$9,0))</f>
        <v>Contra Revenue</v>
      </c>
      <c r="G662" t="s">
        <v>41</v>
      </c>
      <c r="H662" t="s">
        <v>44</v>
      </c>
      <c r="I662">
        <v>1959</v>
      </c>
    </row>
    <row r="663" spans="1:9" x14ac:dyDescent="0.3">
      <c r="A663" t="s">
        <v>894</v>
      </c>
      <c r="B663" t="s">
        <v>893</v>
      </c>
      <c r="C663">
        <f t="shared" si="10"/>
        <v>45839</v>
      </c>
      <c r="D663">
        <v>4000</v>
      </c>
      <c r="E663" t="str">
        <f>INDEX(Accounts!$B$2:$B$9,MATCH(D663,Accounts!$A$2:$A$9,0))</f>
        <v>Product Sales</v>
      </c>
      <c r="F663" t="str">
        <f>INDEX(Accounts!$C$2:$C$9,MATCH(D663,Accounts!$A$2:$A$9,0))</f>
        <v>Revenue</v>
      </c>
      <c r="G663" t="s">
        <v>45</v>
      </c>
      <c r="H663" t="s">
        <v>42</v>
      </c>
      <c r="I663">
        <v>54077</v>
      </c>
    </row>
    <row r="664" spans="1:9" x14ac:dyDescent="0.3">
      <c r="A664" t="s">
        <v>895</v>
      </c>
      <c r="B664" t="s">
        <v>896</v>
      </c>
      <c r="C664">
        <f t="shared" si="10"/>
        <v>45839</v>
      </c>
      <c r="D664">
        <v>6200</v>
      </c>
      <c r="E664" t="str">
        <f>INDEX(Accounts!$B$2:$B$9,MATCH(D664,Accounts!$A$2:$A$9,0))</f>
        <v>Rent &amp; Utilities</v>
      </c>
      <c r="F664" t="str">
        <f>INDEX(Accounts!$C$2:$C$9,MATCH(D664,Accounts!$A$2:$A$9,0))</f>
        <v>Operating Expense</v>
      </c>
      <c r="G664" t="s">
        <v>47</v>
      </c>
      <c r="H664" t="s">
        <v>42</v>
      </c>
      <c r="I664">
        <v>11108</v>
      </c>
    </row>
    <row r="665" spans="1:9" x14ac:dyDescent="0.3">
      <c r="A665" t="s">
        <v>897</v>
      </c>
      <c r="B665" t="s">
        <v>896</v>
      </c>
      <c r="C665">
        <f t="shared" si="10"/>
        <v>45839</v>
      </c>
      <c r="D665">
        <v>4000</v>
      </c>
      <c r="E665" t="str">
        <f>INDEX(Accounts!$B$2:$B$9,MATCH(D665,Accounts!$A$2:$A$9,0))</f>
        <v>Product Sales</v>
      </c>
      <c r="F665" t="str">
        <f>INDEX(Accounts!$C$2:$C$9,MATCH(D665,Accounts!$A$2:$A$9,0))</f>
        <v>Revenue</v>
      </c>
      <c r="G665" t="s">
        <v>48</v>
      </c>
      <c r="H665" t="s">
        <v>42</v>
      </c>
      <c r="I665">
        <v>143848</v>
      </c>
    </row>
    <row r="666" spans="1:9" x14ac:dyDescent="0.3">
      <c r="A666" t="s">
        <v>898</v>
      </c>
      <c r="B666" t="s">
        <v>896</v>
      </c>
      <c r="C666">
        <f t="shared" si="10"/>
        <v>45839</v>
      </c>
      <c r="D666">
        <v>5000</v>
      </c>
      <c r="E666" t="str">
        <f>INDEX(Accounts!$B$2:$B$9,MATCH(D666,Accounts!$A$2:$A$9,0))</f>
        <v>Cost of Goods Sold</v>
      </c>
      <c r="F666" t="str">
        <f>INDEX(Accounts!$C$2:$C$9,MATCH(D666,Accounts!$A$2:$A$9,0))</f>
        <v>COGS</v>
      </c>
      <c r="G666" t="s">
        <v>43</v>
      </c>
      <c r="H666" t="s">
        <v>42</v>
      </c>
      <c r="I666">
        <v>19728</v>
      </c>
    </row>
    <row r="667" spans="1:9" x14ac:dyDescent="0.3">
      <c r="A667" t="s">
        <v>899</v>
      </c>
      <c r="B667" t="s">
        <v>900</v>
      </c>
      <c r="C667">
        <f t="shared" si="10"/>
        <v>45839</v>
      </c>
      <c r="D667">
        <v>4000</v>
      </c>
      <c r="E667" t="str">
        <f>INDEX(Accounts!$B$2:$B$9,MATCH(D667,Accounts!$A$2:$A$9,0))</f>
        <v>Product Sales</v>
      </c>
      <c r="F667" t="str">
        <f>INDEX(Accounts!$C$2:$C$9,MATCH(D667,Accounts!$A$2:$A$9,0))</f>
        <v>Revenue</v>
      </c>
      <c r="G667" t="s">
        <v>41</v>
      </c>
      <c r="H667" t="s">
        <v>42</v>
      </c>
      <c r="I667">
        <v>52053</v>
      </c>
    </row>
    <row r="668" spans="1:9" x14ac:dyDescent="0.3">
      <c r="A668" t="s">
        <v>901</v>
      </c>
      <c r="B668" t="s">
        <v>900</v>
      </c>
      <c r="C668">
        <f t="shared" si="10"/>
        <v>45839</v>
      </c>
      <c r="D668">
        <v>6000</v>
      </c>
      <c r="E668" t="str">
        <f>INDEX(Accounts!$B$2:$B$9,MATCH(D668,Accounts!$A$2:$A$9,0))</f>
        <v>Salaries &amp; Wages</v>
      </c>
      <c r="F668" t="str">
        <f>INDEX(Accounts!$C$2:$C$9,MATCH(D668,Accounts!$A$2:$A$9,0))</f>
        <v>Operating Expense</v>
      </c>
      <c r="G668" t="s">
        <v>41</v>
      </c>
      <c r="H668" t="s">
        <v>46</v>
      </c>
      <c r="I668">
        <v>10377</v>
      </c>
    </row>
    <row r="669" spans="1:9" x14ac:dyDescent="0.3">
      <c r="A669" t="s">
        <v>902</v>
      </c>
      <c r="B669" t="s">
        <v>900</v>
      </c>
      <c r="C669">
        <f t="shared" si="10"/>
        <v>45839</v>
      </c>
      <c r="D669">
        <v>4000</v>
      </c>
      <c r="E669" t="str">
        <f>INDEX(Accounts!$B$2:$B$9,MATCH(D669,Accounts!$A$2:$A$9,0))</f>
        <v>Product Sales</v>
      </c>
      <c r="F669" t="str">
        <f>INDEX(Accounts!$C$2:$C$9,MATCH(D669,Accounts!$A$2:$A$9,0))</f>
        <v>Revenue</v>
      </c>
      <c r="G669" t="s">
        <v>41</v>
      </c>
      <c r="H669" t="s">
        <v>46</v>
      </c>
      <c r="I669">
        <v>133280</v>
      </c>
    </row>
    <row r="670" spans="1:9" x14ac:dyDescent="0.3">
      <c r="A670" t="s">
        <v>903</v>
      </c>
      <c r="B670" t="s">
        <v>900</v>
      </c>
      <c r="C670">
        <f t="shared" si="10"/>
        <v>45839</v>
      </c>
      <c r="D670">
        <v>6000</v>
      </c>
      <c r="E670" t="str">
        <f>INDEX(Accounts!$B$2:$B$9,MATCH(D670,Accounts!$A$2:$A$9,0))</f>
        <v>Salaries &amp; Wages</v>
      </c>
      <c r="F670" t="str">
        <f>INDEX(Accounts!$C$2:$C$9,MATCH(D670,Accounts!$A$2:$A$9,0))</f>
        <v>Operating Expense</v>
      </c>
      <c r="G670" t="s">
        <v>41</v>
      </c>
      <c r="H670" t="s">
        <v>42</v>
      </c>
      <c r="I670">
        <v>5714</v>
      </c>
    </row>
    <row r="671" spans="1:9" x14ac:dyDescent="0.3">
      <c r="A671" t="s">
        <v>904</v>
      </c>
      <c r="B671" t="s">
        <v>900</v>
      </c>
      <c r="C671">
        <f t="shared" si="10"/>
        <v>45839</v>
      </c>
      <c r="D671">
        <v>4000</v>
      </c>
      <c r="E671" t="str">
        <f>INDEX(Accounts!$B$2:$B$9,MATCH(D671,Accounts!$A$2:$A$9,0))</f>
        <v>Product Sales</v>
      </c>
      <c r="F671" t="str">
        <f>INDEX(Accounts!$C$2:$C$9,MATCH(D671,Accounts!$A$2:$A$9,0))</f>
        <v>Revenue</v>
      </c>
      <c r="G671" t="s">
        <v>45</v>
      </c>
      <c r="H671" t="s">
        <v>42</v>
      </c>
      <c r="I671">
        <v>49111</v>
      </c>
    </row>
    <row r="672" spans="1:9" x14ac:dyDescent="0.3">
      <c r="A672" t="s">
        <v>905</v>
      </c>
      <c r="B672" t="s">
        <v>906</v>
      </c>
      <c r="C672">
        <f t="shared" si="10"/>
        <v>45839</v>
      </c>
      <c r="D672">
        <v>4000</v>
      </c>
      <c r="E672" t="str">
        <f>INDEX(Accounts!$B$2:$B$9,MATCH(D672,Accounts!$A$2:$A$9,0))</f>
        <v>Product Sales</v>
      </c>
      <c r="F672" t="str">
        <f>INDEX(Accounts!$C$2:$C$9,MATCH(D672,Accounts!$A$2:$A$9,0))</f>
        <v>Revenue</v>
      </c>
      <c r="G672" t="s">
        <v>48</v>
      </c>
      <c r="H672" t="s">
        <v>44</v>
      </c>
      <c r="I672">
        <v>153982</v>
      </c>
    </row>
    <row r="673" spans="1:9" x14ac:dyDescent="0.3">
      <c r="A673" t="s">
        <v>907</v>
      </c>
      <c r="B673" t="s">
        <v>908</v>
      </c>
      <c r="C673">
        <f t="shared" si="10"/>
        <v>45839</v>
      </c>
      <c r="D673">
        <v>5000</v>
      </c>
      <c r="E673" t="str">
        <f>INDEX(Accounts!$B$2:$B$9,MATCH(D673,Accounts!$A$2:$A$9,0))</f>
        <v>Cost of Goods Sold</v>
      </c>
      <c r="F673" t="str">
        <f>INDEX(Accounts!$C$2:$C$9,MATCH(D673,Accounts!$A$2:$A$9,0))</f>
        <v>COGS</v>
      </c>
      <c r="G673" t="s">
        <v>47</v>
      </c>
      <c r="H673" t="s">
        <v>44</v>
      </c>
      <c r="I673">
        <v>31947</v>
      </c>
    </row>
    <row r="674" spans="1:9" x14ac:dyDescent="0.3">
      <c r="A674" t="s">
        <v>909</v>
      </c>
      <c r="B674" t="s">
        <v>910</v>
      </c>
      <c r="C674">
        <f t="shared" si="10"/>
        <v>45839</v>
      </c>
      <c r="D674">
        <v>5000</v>
      </c>
      <c r="E674" t="str">
        <f>INDEX(Accounts!$B$2:$B$9,MATCH(D674,Accounts!$A$2:$A$9,0))</f>
        <v>Cost of Goods Sold</v>
      </c>
      <c r="F674" t="str">
        <f>INDEX(Accounts!$C$2:$C$9,MATCH(D674,Accounts!$A$2:$A$9,0))</f>
        <v>COGS</v>
      </c>
      <c r="G674" t="s">
        <v>43</v>
      </c>
      <c r="H674" t="s">
        <v>46</v>
      </c>
      <c r="I674">
        <v>59313</v>
      </c>
    </row>
    <row r="675" spans="1:9" x14ac:dyDescent="0.3">
      <c r="A675" t="s">
        <v>911</v>
      </c>
      <c r="B675" t="s">
        <v>910</v>
      </c>
      <c r="C675">
        <f t="shared" si="10"/>
        <v>45839</v>
      </c>
      <c r="D675">
        <v>4000</v>
      </c>
      <c r="E675" t="str">
        <f>INDEX(Accounts!$B$2:$B$9,MATCH(D675,Accounts!$A$2:$A$9,0))</f>
        <v>Product Sales</v>
      </c>
      <c r="F675" t="str">
        <f>INDEX(Accounts!$C$2:$C$9,MATCH(D675,Accounts!$A$2:$A$9,0))</f>
        <v>Revenue</v>
      </c>
      <c r="G675" t="s">
        <v>43</v>
      </c>
      <c r="H675" t="s">
        <v>44</v>
      </c>
      <c r="I675">
        <v>170739</v>
      </c>
    </row>
    <row r="676" spans="1:9" x14ac:dyDescent="0.3">
      <c r="A676" t="s">
        <v>912</v>
      </c>
      <c r="B676" t="s">
        <v>910</v>
      </c>
      <c r="C676">
        <f t="shared" si="10"/>
        <v>45839</v>
      </c>
      <c r="D676">
        <v>4000</v>
      </c>
      <c r="E676" t="str">
        <f>INDEX(Accounts!$B$2:$B$9,MATCH(D676,Accounts!$A$2:$A$9,0))</f>
        <v>Product Sales</v>
      </c>
      <c r="F676" t="str">
        <f>INDEX(Accounts!$C$2:$C$9,MATCH(D676,Accounts!$A$2:$A$9,0))</f>
        <v>Revenue</v>
      </c>
      <c r="G676" t="s">
        <v>45</v>
      </c>
      <c r="H676" t="s">
        <v>44</v>
      </c>
      <c r="I676">
        <v>164903</v>
      </c>
    </row>
    <row r="677" spans="1:9" x14ac:dyDescent="0.3">
      <c r="A677" t="s">
        <v>913</v>
      </c>
      <c r="B677" t="s">
        <v>910</v>
      </c>
      <c r="C677">
        <f t="shared" si="10"/>
        <v>45839</v>
      </c>
      <c r="D677">
        <v>6300</v>
      </c>
      <c r="E677" t="str">
        <f>INDEX(Accounts!$B$2:$B$9,MATCH(D677,Accounts!$A$2:$A$9,0))</f>
        <v>Logistics Expense</v>
      </c>
      <c r="F677" t="str">
        <f>INDEX(Accounts!$C$2:$C$9,MATCH(D677,Accounts!$A$2:$A$9,0))</f>
        <v>Operating Expense</v>
      </c>
      <c r="G677" t="s">
        <v>47</v>
      </c>
      <c r="H677" t="s">
        <v>44</v>
      </c>
      <c r="I677">
        <v>2475</v>
      </c>
    </row>
    <row r="678" spans="1:9" x14ac:dyDescent="0.3">
      <c r="A678" t="s">
        <v>914</v>
      </c>
      <c r="B678" t="s">
        <v>910</v>
      </c>
      <c r="C678">
        <f t="shared" si="10"/>
        <v>45839</v>
      </c>
      <c r="D678">
        <v>6000</v>
      </c>
      <c r="E678" t="str">
        <f>INDEX(Accounts!$B$2:$B$9,MATCH(D678,Accounts!$A$2:$A$9,0))</f>
        <v>Salaries &amp; Wages</v>
      </c>
      <c r="F678" t="str">
        <f>INDEX(Accounts!$C$2:$C$9,MATCH(D678,Accounts!$A$2:$A$9,0))</f>
        <v>Operating Expense</v>
      </c>
      <c r="G678" t="s">
        <v>48</v>
      </c>
      <c r="H678" t="s">
        <v>46</v>
      </c>
      <c r="I678">
        <v>12238</v>
      </c>
    </row>
    <row r="679" spans="1:9" x14ac:dyDescent="0.3">
      <c r="A679" t="s">
        <v>915</v>
      </c>
      <c r="B679" t="s">
        <v>910</v>
      </c>
      <c r="C679">
        <f t="shared" si="10"/>
        <v>45839</v>
      </c>
      <c r="D679">
        <v>6300</v>
      </c>
      <c r="E679" t="str">
        <f>INDEX(Accounts!$B$2:$B$9,MATCH(D679,Accounts!$A$2:$A$9,0))</f>
        <v>Logistics Expense</v>
      </c>
      <c r="F679" t="str">
        <f>INDEX(Accounts!$C$2:$C$9,MATCH(D679,Accounts!$A$2:$A$9,0))</f>
        <v>Operating Expense</v>
      </c>
      <c r="G679" t="s">
        <v>43</v>
      </c>
      <c r="H679" t="s">
        <v>44</v>
      </c>
      <c r="I679">
        <v>7254</v>
      </c>
    </row>
    <row r="680" spans="1:9" x14ac:dyDescent="0.3">
      <c r="A680" t="s">
        <v>916</v>
      </c>
      <c r="B680" t="s">
        <v>917</v>
      </c>
      <c r="C680">
        <f t="shared" si="10"/>
        <v>45839</v>
      </c>
      <c r="D680">
        <v>6200</v>
      </c>
      <c r="E680" t="str">
        <f>INDEX(Accounts!$B$2:$B$9,MATCH(D680,Accounts!$A$2:$A$9,0))</f>
        <v>Rent &amp; Utilities</v>
      </c>
      <c r="F680" t="str">
        <f>INDEX(Accounts!$C$2:$C$9,MATCH(D680,Accounts!$A$2:$A$9,0))</f>
        <v>Operating Expense</v>
      </c>
      <c r="G680" t="s">
        <v>43</v>
      </c>
      <c r="H680" t="s">
        <v>46</v>
      </c>
      <c r="I680">
        <v>13562</v>
      </c>
    </row>
    <row r="681" spans="1:9" x14ac:dyDescent="0.3">
      <c r="A681" t="s">
        <v>918</v>
      </c>
      <c r="B681" t="s">
        <v>917</v>
      </c>
      <c r="C681">
        <f t="shared" si="10"/>
        <v>45839</v>
      </c>
      <c r="D681">
        <v>6000</v>
      </c>
      <c r="E681" t="str">
        <f>INDEX(Accounts!$B$2:$B$9,MATCH(D681,Accounts!$A$2:$A$9,0))</f>
        <v>Salaries &amp; Wages</v>
      </c>
      <c r="F681" t="str">
        <f>INDEX(Accounts!$C$2:$C$9,MATCH(D681,Accounts!$A$2:$A$9,0))</f>
        <v>Operating Expense</v>
      </c>
      <c r="G681" t="s">
        <v>47</v>
      </c>
      <c r="H681" t="s">
        <v>42</v>
      </c>
      <c r="I681">
        <v>25668</v>
      </c>
    </row>
    <row r="682" spans="1:9" x14ac:dyDescent="0.3">
      <c r="A682" t="s">
        <v>919</v>
      </c>
      <c r="B682" t="s">
        <v>917</v>
      </c>
      <c r="C682">
        <f t="shared" si="10"/>
        <v>45839</v>
      </c>
      <c r="D682">
        <v>4000</v>
      </c>
      <c r="E682" t="str">
        <f>INDEX(Accounts!$B$2:$B$9,MATCH(D682,Accounts!$A$2:$A$9,0))</f>
        <v>Product Sales</v>
      </c>
      <c r="F682" t="str">
        <f>INDEX(Accounts!$C$2:$C$9,MATCH(D682,Accounts!$A$2:$A$9,0))</f>
        <v>Revenue</v>
      </c>
      <c r="G682" t="s">
        <v>41</v>
      </c>
      <c r="H682" t="s">
        <v>44</v>
      </c>
      <c r="I682">
        <v>53320</v>
      </c>
    </row>
    <row r="683" spans="1:9" x14ac:dyDescent="0.3">
      <c r="A683" t="s">
        <v>920</v>
      </c>
      <c r="B683" t="s">
        <v>921</v>
      </c>
      <c r="C683">
        <f t="shared" si="10"/>
        <v>45839</v>
      </c>
      <c r="D683">
        <v>6100</v>
      </c>
      <c r="E683" t="str">
        <f>INDEX(Accounts!$B$2:$B$9,MATCH(D683,Accounts!$A$2:$A$9,0))</f>
        <v>Marketing Expense</v>
      </c>
      <c r="F683" t="str">
        <f>INDEX(Accounts!$C$2:$C$9,MATCH(D683,Accounts!$A$2:$A$9,0))</f>
        <v>Operating Expense</v>
      </c>
      <c r="G683" t="s">
        <v>41</v>
      </c>
      <c r="H683" t="s">
        <v>42</v>
      </c>
      <c r="I683">
        <v>6006</v>
      </c>
    </row>
    <row r="684" spans="1:9" x14ac:dyDescent="0.3">
      <c r="A684" t="s">
        <v>922</v>
      </c>
      <c r="B684" t="s">
        <v>921</v>
      </c>
      <c r="C684">
        <f t="shared" si="10"/>
        <v>45839</v>
      </c>
      <c r="D684">
        <v>4100</v>
      </c>
      <c r="E684" t="str">
        <f>INDEX(Accounts!$B$2:$B$9,MATCH(D684,Accounts!$A$2:$A$9,0))</f>
        <v>Sales Returns &amp; Discounts</v>
      </c>
      <c r="F684" t="str">
        <f>INDEX(Accounts!$C$2:$C$9,MATCH(D684,Accounts!$A$2:$A$9,0))</f>
        <v>Contra Revenue</v>
      </c>
      <c r="G684" t="s">
        <v>43</v>
      </c>
      <c r="H684" t="s">
        <v>46</v>
      </c>
      <c r="I684">
        <v>6241</v>
      </c>
    </row>
    <row r="685" spans="1:9" x14ac:dyDescent="0.3">
      <c r="A685" t="s">
        <v>923</v>
      </c>
      <c r="B685" t="s">
        <v>921</v>
      </c>
      <c r="C685">
        <f t="shared" si="10"/>
        <v>45839</v>
      </c>
      <c r="D685">
        <v>6000</v>
      </c>
      <c r="E685" t="str">
        <f>INDEX(Accounts!$B$2:$B$9,MATCH(D685,Accounts!$A$2:$A$9,0))</f>
        <v>Salaries &amp; Wages</v>
      </c>
      <c r="F685" t="str">
        <f>INDEX(Accounts!$C$2:$C$9,MATCH(D685,Accounts!$A$2:$A$9,0))</f>
        <v>Operating Expense</v>
      </c>
      <c r="G685" t="s">
        <v>47</v>
      </c>
      <c r="H685" t="s">
        <v>46</v>
      </c>
      <c r="I685">
        <v>16756</v>
      </c>
    </row>
    <row r="686" spans="1:9" x14ac:dyDescent="0.3">
      <c r="A686" t="s">
        <v>924</v>
      </c>
      <c r="B686" t="s">
        <v>921</v>
      </c>
      <c r="C686">
        <f t="shared" si="10"/>
        <v>45839</v>
      </c>
      <c r="D686">
        <v>6000</v>
      </c>
      <c r="E686" t="str">
        <f>INDEX(Accounts!$B$2:$B$9,MATCH(D686,Accounts!$A$2:$A$9,0))</f>
        <v>Salaries &amp; Wages</v>
      </c>
      <c r="F686" t="str">
        <f>INDEX(Accounts!$C$2:$C$9,MATCH(D686,Accounts!$A$2:$A$9,0))</f>
        <v>Operating Expense</v>
      </c>
      <c r="G686" t="s">
        <v>47</v>
      </c>
      <c r="H686" t="s">
        <v>44</v>
      </c>
      <c r="I686">
        <v>15053</v>
      </c>
    </row>
    <row r="687" spans="1:9" x14ac:dyDescent="0.3">
      <c r="A687" t="s">
        <v>925</v>
      </c>
      <c r="B687" t="s">
        <v>926</v>
      </c>
      <c r="C687">
        <f t="shared" si="10"/>
        <v>45839</v>
      </c>
      <c r="D687">
        <v>6000</v>
      </c>
      <c r="E687" t="str">
        <f>INDEX(Accounts!$B$2:$B$9,MATCH(D687,Accounts!$A$2:$A$9,0))</f>
        <v>Salaries &amp; Wages</v>
      </c>
      <c r="F687" t="str">
        <f>INDEX(Accounts!$C$2:$C$9,MATCH(D687,Accounts!$A$2:$A$9,0))</f>
        <v>Operating Expense</v>
      </c>
      <c r="G687" t="s">
        <v>41</v>
      </c>
      <c r="H687" t="s">
        <v>46</v>
      </c>
      <c r="I687">
        <v>24661</v>
      </c>
    </row>
    <row r="688" spans="1:9" x14ac:dyDescent="0.3">
      <c r="A688" t="s">
        <v>927</v>
      </c>
      <c r="B688" t="s">
        <v>926</v>
      </c>
      <c r="C688">
        <f t="shared" si="10"/>
        <v>45839</v>
      </c>
      <c r="D688">
        <v>6200</v>
      </c>
      <c r="E688" t="str">
        <f>INDEX(Accounts!$B$2:$B$9,MATCH(D688,Accounts!$A$2:$A$9,0))</f>
        <v>Rent &amp; Utilities</v>
      </c>
      <c r="F688" t="str">
        <f>INDEX(Accounts!$C$2:$C$9,MATCH(D688,Accounts!$A$2:$A$9,0))</f>
        <v>Operating Expense</v>
      </c>
      <c r="G688" t="s">
        <v>43</v>
      </c>
      <c r="H688" t="s">
        <v>42</v>
      </c>
      <c r="I688">
        <v>11225</v>
      </c>
    </row>
    <row r="689" spans="1:9" x14ac:dyDescent="0.3">
      <c r="A689" t="s">
        <v>928</v>
      </c>
      <c r="B689" t="s">
        <v>926</v>
      </c>
      <c r="C689">
        <f t="shared" si="10"/>
        <v>45839</v>
      </c>
      <c r="D689">
        <v>5000</v>
      </c>
      <c r="E689" t="str">
        <f>INDEX(Accounts!$B$2:$B$9,MATCH(D689,Accounts!$A$2:$A$9,0))</f>
        <v>Cost of Goods Sold</v>
      </c>
      <c r="F689" t="str">
        <f>INDEX(Accounts!$C$2:$C$9,MATCH(D689,Accounts!$A$2:$A$9,0))</f>
        <v>COGS</v>
      </c>
      <c r="G689" t="s">
        <v>41</v>
      </c>
      <c r="H689" t="s">
        <v>46</v>
      </c>
      <c r="I689">
        <v>48578</v>
      </c>
    </row>
    <row r="690" spans="1:9" x14ac:dyDescent="0.3">
      <c r="A690" t="s">
        <v>929</v>
      </c>
      <c r="B690" t="s">
        <v>930</v>
      </c>
      <c r="C690">
        <f t="shared" si="10"/>
        <v>45839</v>
      </c>
      <c r="D690">
        <v>4000</v>
      </c>
      <c r="E690" t="str">
        <f>INDEX(Accounts!$B$2:$B$9,MATCH(D690,Accounts!$A$2:$A$9,0))</f>
        <v>Product Sales</v>
      </c>
      <c r="F690" t="str">
        <f>INDEX(Accounts!$C$2:$C$9,MATCH(D690,Accounts!$A$2:$A$9,0))</f>
        <v>Revenue</v>
      </c>
      <c r="G690" t="s">
        <v>48</v>
      </c>
      <c r="H690" t="s">
        <v>42</v>
      </c>
      <c r="I690">
        <v>165611</v>
      </c>
    </row>
    <row r="691" spans="1:9" x14ac:dyDescent="0.3">
      <c r="A691" t="s">
        <v>931</v>
      </c>
      <c r="B691" t="s">
        <v>930</v>
      </c>
      <c r="C691">
        <f t="shared" si="10"/>
        <v>45839</v>
      </c>
      <c r="D691">
        <v>4000</v>
      </c>
      <c r="E691" t="str">
        <f>INDEX(Accounts!$B$2:$B$9,MATCH(D691,Accounts!$A$2:$A$9,0))</f>
        <v>Product Sales</v>
      </c>
      <c r="F691" t="str">
        <f>INDEX(Accounts!$C$2:$C$9,MATCH(D691,Accounts!$A$2:$A$9,0))</f>
        <v>Revenue</v>
      </c>
      <c r="G691" t="s">
        <v>41</v>
      </c>
      <c r="H691" t="s">
        <v>44</v>
      </c>
      <c r="I691">
        <v>110524</v>
      </c>
    </row>
    <row r="692" spans="1:9" x14ac:dyDescent="0.3">
      <c r="A692" t="s">
        <v>932</v>
      </c>
      <c r="B692" t="s">
        <v>930</v>
      </c>
      <c r="C692">
        <f t="shared" si="10"/>
        <v>45839</v>
      </c>
      <c r="D692">
        <v>4000</v>
      </c>
      <c r="E692" t="str">
        <f>INDEX(Accounts!$B$2:$B$9,MATCH(D692,Accounts!$A$2:$A$9,0))</f>
        <v>Product Sales</v>
      </c>
      <c r="F692" t="str">
        <f>INDEX(Accounts!$C$2:$C$9,MATCH(D692,Accounts!$A$2:$A$9,0))</f>
        <v>Revenue</v>
      </c>
      <c r="G692" t="s">
        <v>41</v>
      </c>
      <c r="H692" t="s">
        <v>42</v>
      </c>
      <c r="I692">
        <v>85980</v>
      </c>
    </row>
    <row r="693" spans="1:9" x14ac:dyDescent="0.3">
      <c r="A693" t="s">
        <v>933</v>
      </c>
      <c r="B693" t="s">
        <v>930</v>
      </c>
      <c r="C693">
        <f t="shared" si="10"/>
        <v>45839</v>
      </c>
      <c r="D693">
        <v>4100</v>
      </c>
      <c r="E693" t="str">
        <f>INDEX(Accounts!$B$2:$B$9,MATCH(D693,Accounts!$A$2:$A$9,0))</f>
        <v>Sales Returns &amp; Discounts</v>
      </c>
      <c r="F693" t="str">
        <f>INDEX(Accounts!$C$2:$C$9,MATCH(D693,Accounts!$A$2:$A$9,0))</f>
        <v>Contra Revenue</v>
      </c>
      <c r="G693" t="s">
        <v>48</v>
      </c>
      <c r="H693" t="s">
        <v>46</v>
      </c>
      <c r="I693">
        <v>8157</v>
      </c>
    </row>
    <row r="694" spans="1:9" x14ac:dyDescent="0.3">
      <c r="A694" t="s">
        <v>934</v>
      </c>
      <c r="B694" t="s">
        <v>935</v>
      </c>
      <c r="C694">
        <f t="shared" si="10"/>
        <v>45839</v>
      </c>
      <c r="D694">
        <v>5000</v>
      </c>
      <c r="E694" t="str">
        <f>INDEX(Accounts!$B$2:$B$9,MATCH(D694,Accounts!$A$2:$A$9,0))</f>
        <v>Cost of Goods Sold</v>
      </c>
      <c r="F694" t="str">
        <f>INDEX(Accounts!$C$2:$C$9,MATCH(D694,Accounts!$A$2:$A$9,0))</f>
        <v>COGS</v>
      </c>
      <c r="G694" t="s">
        <v>41</v>
      </c>
      <c r="H694" t="s">
        <v>44</v>
      </c>
      <c r="I694">
        <v>58689</v>
      </c>
    </row>
    <row r="695" spans="1:9" x14ac:dyDescent="0.3">
      <c r="A695" t="s">
        <v>936</v>
      </c>
      <c r="B695" t="s">
        <v>935</v>
      </c>
      <c r="C695">
        <f t="shared" si="10"/>
        <v>45839</v>
      </c>
      <c r="D695">
        <v>5000</v>
      </c>
      <c r="E695" t="str">
        <f>INDEX(Accounts!$B$2:$B$9,MATCH(D695,Accounts!$A$2:$A$9,0))</f>
        <v>Cost of Goods Sold</v>
      </c>
      <c r="F695" t="str">
        <f>INDEX(Accounts!$C$2:$C$9,MATCH(D695,Accounts!$A$2:$A$9,0))</f>
        <v>COGS</v>
      </c>
      <c r="G695" t="s">
        <v>45</v>
      </c>
      <c r="H695" t="s">
        <v>46</v>
      </c>
      <c r="I695">
        <v>52633</v>
      </c>
    </row>
    <row r="696" spans="1:9" x14ac:dyDescent="0.3">
      <c r="A696" t="s">
        <v>937</v>
      </c>
      <c r="B696" t="s">
        <v>935</v>
      </c>
      <c r="C696">
        <f t="shared" si="10"/>
        <v>45839</v>
      </c>
      <c r="D696">
        <v>6200</v>
      </c>
      <c r="E696" t="str">
        <f>INDEX(Accounts!$B$2:$B$9,MATCH(D696,Accounts!$A$2:$A$9,0))</f>
        <v>Rent &amp; Utilities</v>
      </c>
      <c r="F696" t="str">
        <f>INDEX(Accounts!$C$2:$C$9,MATCH(D696,Accounts!$A$2:$A$9,0))</f>
        <v>Operating Expense</v>
      </c>
      <c r="G696" t="s">
        <v>41</v>
      </c>
      <c r="H696" t="s">
        <v>42</v>
      </c>
      <c r="I696">
        <v>7308</v>
      </c>
    </row>
    <row r="697" spans="1:9" x14ac:dyDescent="0.3">
      <c r="A697" t="s">
        <v>938</v>
      </c>
      <c r="B697" t="s">
        <v>935</v>
      </c>
      <c r="C697">
        <f t="shared" si="10"/>
        <v>45839</v>
      </c>
      <c r="D697">
        <v>5000</v>
      </c>
      <c r="E697" t="str">
        <f>INDEX(Accounts!$B$2:$B$9,MATCH(D697,Accounts!$A$2:$A$9,0))</f>
        <v>Cost of Goods Sold</v>
      </c>
      <c r="F697" t="str">
        <f>INDEX(Accounts!$C$2:$C$9,MATCH(D697,Accounts!$A$2:$A$9,0))</f>
        <v>COGS</v>
      </c>
      <c r="G697" t="s">
        <v>41</v>
      </c>
      <c r="H697" t="s">
        <v>42</v>
      </c>
      <c r="I697">
        <v>16920</v>
      </c>
    </row>
    <row r="698" spans="1:9" x14ac:dyDescent="0.3">
      <c r="A698" t="s">
        <v>939</v>
      </c>
      <c r="B698" t="s">
        <v>940</v>
      </c>
      <c r="C698">
        <f t="shared" si="10"/>
        <v>45839</v>
      </c>
      <c r="D698">
        <v>6400</v>
      </c>
      <c r="E698" t="str">
        <f>INDEX(Accounts!$B$2:$B$9,MATCH(D698,Accounts!$A$2:$A$9,0))</f>
        <v>Software &amp; Admin</v>
      </c>
      <c r="F698" t="str">
        <f>INDEX(Accounts!$C$2:$C$9,MATCH(D698,Accounts!$A$2:$A$9,0))</f>
        <v>Operating Expense</v>
      </c>
      <c r="G698" t="s">
        <v>41</v>
      </c>
      <c r="H698" t="s">
        <v>42</v>
      </c>
      <c r="I698">
        <v>5059</v>
      </c>
    </row>
    <row r="699" spans="1:9" x14ac:dyDescent="0.3">
      <c r="A699" t="s">
        <v>941</v>
      </c>
      <c r="B699" t="s">
        <v>940</v>
      </c>
      <c r="C699">
        <f t="shared" si="10"/>
        <v>45839</v>
      </c>
      <c r="D699">
        <v>4000</v>
      </c>
      <c r="E699" t="str">
        <f>INDEX(Accounts!$B$2:$B$9,MATCH(D699,Accounts!$A$2:$A$9,0))</f>
        <v>Product Sales</v>
      </c>
      <c r="F699" t="str">
        <f>INDEX(Accounts!$C$2:$C$9,MATCH(D699,Accounts!$A$2:$A$9,0))</f>
        <v>Revenue</v>
      </c>
      <c r="G699" t="s">
        <v>45</v>
      </c>
      <c r="H699" t="s">
        <v>46</v>
      </c>
      <c r="I699">
        <v>55234</v>
      </c>
    </row>
    <row r="700" spans="1:9" x14ac:dyDescent="0.3">
      <c r="A700" t="s">
        <v>942</v>
      </c>
      <c r="B700" t="s">
        <v>940</v>
      </c>
      <c r="C700">
        <f t="shared" si="10"/>
        <v>45839</v>
      </c>
      <c r="D700">
        <v>4000</v>
      </c>
      <c r="E700" t="str">
        <f>INDEX(Accounts!$B$2:$B$9,MATCH(D700,Accounts!$A$2:$A$9,0))</f>
        <v>Product Sales</v>
      </c>
      <c r="F700" t="str">
        <f>INDEX(Accounts!$C$2:$C$9,MATCH(D700,Accounts!$A$2:$A$9,0))</f>
        <v>Revenue</v>
      </c>
      <c r="G700" t="s">
        <v>43</v>
      </c>
      <c r="H700" t="s">
        <v>44</v>
      </c>
      <c r="I700">
        <v>88591</v>
      </c>
    </row>
    <row r="701" spans="1:9" x14ac:dyDescent="0.3">
      <c r="A701" t="s">
        <v>943</v>
      </c>
      <c r="B701" t="s">
        <v>944</v>
      </c>
      <c r="C701">
        <f t="shared" si="10"/>
        <v>45839</v>
      </c>
      <c r="D701">
        <v>4000</v>
      </c>
      <c r="E701" t="str">
        <f>INDEX(Accounts!$B$2:$B$9,MATCH(D701,Accounts!$A$2:$A$9,0))</f>
        <v>Product Sales</v>
      </c>
      <c r="F701" t="str">
        <f>INDEX(Accounts!$C$2:$C$9,MATCH(D701,Accounts!$A$2:$A$9,0))</f>
        <v>Revenue</v>
      </c>
      <c r="G701" t="s">
        <v>43</v>
      </c>
      <c r="H701" t="s">
        <v>46</v>
      </c>
      <c r="I701">
        <v>43615</v>
      </c>
    </row>
    <row r="702" spans="1:9" x14ac:dyDescent="0.3">
      <c r="A702" t="s">
        <v>945</v>
      </c>
      <c r="B702" t="s">
        <v>944</v>
      </c>
      <c r="C702">
        <f t="shared" si="10"/>
        <v>45839</v>
      </c>
      <c r="D702">
        <v>5000</v>
      </c>
      <c r="E702" t="str">
        <f>INDEX(Accounts!$B$2:$B$9,MATCH(D702,Accounts!$A$2:$A$9,0))</f>
        <v>Cost of Goods Sold</v>
      </c>
      <c r="F702" t="str">
        <f>INDEX(Accounts!$C$2:$C$9,MATCH(D702,Accounts!$A$2:$A$9,0))</f>
        <v>COGS</v>
      </c>
      <c r="G702" t="s">
        <v>45</v>
      </c>
      <c r="H702" t="s">
        <v>44</v>
      </c>
      <c r="I702">
        <v>61745</v>
      </c>
    </row>
    <row r="703" spans="1:9" x14ac:dyDescent="0.3">
      <c r="A703" t="s">
        <v>946</v>
      </c>
      <c r="B703" t="s">
        <v>947</v>
      </c>
      <c r="C703">
        <f t="shared" si="10"/>
        <v>45839</v>
      </c>
      <c r="D703">
        <v>4000</v>
      </c>
      <c r="E703" t="str">
        <f>INDEX(Accounts!$B$2:$B$9,MATCH(D703,Accounts!$A$2:$A$9,0))</f>
        <v>Product Sales</v>
      </c>
      <c r="F703" t="str">
        <f>INDEX(Accounts!$C$2:$C$9,MATCH(D703,Accounts!$A$2:$A$9,0))</f>
        <v>Revenue</v>
      </c>
      <c r="G703" t="s">
        <v>41</v>
      </c>
      <c r="H703" t="s">
        <v>42</v>
      </c>
      <c r="I703">
        <v>97084</v>
      </c>
    </row>
    <row r="704" spans="1:9" x14ac:dyDescent="0.3">
      <c r="A704" t="s">
        <v>948</v>
      </c>
      <c r="B704" t="s">
        <v>949</v>
      </c>
      <c r="C704">
        <f t="shared" si="10"/>
        <v>45839</v>
      </c>
      <c r="D704">
        <v>5000</v>
      </c>
      <c r="E704" t="str">
        <f>INDEX(Accounts!$B$2:$B$9,MATCH(D704,Accounts!$A$2:$A$9,0))</f>
        <v>Cost of Goods Sold</v>
      </c>
      <c r="F704" t="str">
        <f>INDEX(Accounts!$C$2:$C$9,MATCH(D704,Accounts!$A$2:$A$9,0))</f>
        <v>COGS</v>
      </c>
      <c r="G704" t="s">
        <v>41</v>
      </c>
      <c r="H704" t="s">
        <v>46</v>
      </c>
      <c r="I704">
        <v>17920</v>
      </c>
    </row>
    <row r="705" spans="1:9" x14ac:dyDescent="0.3">
      <c r="A705" t="s">
        <v>950</v>
      </c>
      <c r="B705" t="s">
        <v>949</v>
      </c>
      <c r="C705">
        <f t="shared" si="10"/>
        <v>45839</v>
      </c>
      <c r="D705">
        <v>5000</v>
      </c>
      <c r="E705" t="str">
        <f>INDEX(Accounts!$B$2:$B$9,MATCH(D705,Accounts!$A$2:$A$9,0))</f>
        <v>Cost of Goods Sold</v>
      </c>
      <c r="F705" t="str">
        <f>INDEX(Accounts!$C$2:$C$9,MATCH(D705,Accounts!$A$2:$A$9,0))</f>
        <v>COGS</v>
      </c>
      <c r="G705" t="s">
        <v>48</v>
      </c>
      <c r="H705" t="s">
        <v>42</v>
      </c>
      <c r="I705">
        <v>56002</v>
      </c>
    </row>
    <row r="706" spans="1:9" x14ac:dyDescent="0.3">
      <c r="A706" t="s">
        <v>951</v>
      </c>
      <c r="B706" t="s">
        <v>949</v>
      </c>
      <c r="C706">
        <f t="shared" ref="C706:C769" si="11">DATE(YEAR(B706),MONTH(B706),1)</f>
        <v>45839</v>
      </c>
      <c r="D706">
        <v>5000</v>
      </c>
      <c r="E706" t="str">
        <f>INDEX(Accounts!$B$2:$B$9,MATCH(D706,Accounts!$A$2:$A$9,0))</f>
        <v>Cost of Goods Sold</v>
      </c>
      <c r="F706" t="str">
        <f>INDEX(Accounts!$C$2:$C$9,MATCH(D706,Accounts!$A$2:$A$9,0))</f>
        <v>COGS</v>
      </c>
      <c r="G706" t="s">
        <v>43</v>
      </c>
      <c r="H706" t="s">
        <v>46</v>
      </c>
      <c r="I706">
        <v>31480</v>
      </c>
    </row>
    <row r="707" spans="1:9" x14ac:dyDescent="0.3">
      <c r="A707" t="s">
        <v>952</v>
      </c>
      <c r="B707" t="s">
        <v>953</v>
      </c>
      <c r="C707">
        <f t="shared" si="11"/>
        <v>45839</v>
      </c>
      <c r="D707">
        <v>4000</v>
      </c>
      <c r="E707" t="str">
        <f>INDEX(Accounts!$B$2:$B$9,MATCH(D707,Accounts!$A$2:$A$9,0))</f>
        <v>Product Sales</v>
      </c>
      <c r="F707" t="str">
        <f>INDEX(Accounts!$C$2:$C$9,MATCH(D707,Accounts!$A$2:$A$9,0))</f>
        <v>Revenue</v>
      </c>
      <c r="G707" t="s">
        <v>41</v>
      </c>
      <c r="H707" t="s">
        <v>42</v>
      </c>
      <c r="I707">
        <v>134899</v>
      </c>
    </row>
    <row r="708" spans="1:9" x14ac:dyDescent="0.3">
      <c r="A708" t="s">
        <v>954</v>
      </c>
      <c r="B708" t="s">
        <v>955</v>
      </c>
      <c r="C708">
        <f t="shared" si="11"/>
        <v>45839</v>
      </c>
      <c r="D708">
        <v>6300</v>
      </c>
      <c r="E708" t="str">
        <f>INDEX(Accounts!$B$2:$B$9,MATCH(D708,Accounts!$A$2:$A$9,0))</f>
        <v>Logistics Expense</v>
      </c>
      <c r="F708" t="str">
        <f>INDEX(Accounts!$C$2:$C$9,MATCH(D708,Accounts!$A$2:$A$9,0))</f>
        <v>Operating Expense</v>
      </c>
      <c r="G708" t="s">
        <v>41</v>
      </c>
      <c r="H708" t="s">
        <v>44</v>
      </c>
      <c r="I708">
        <v>6685</v>
      </c>
    </row>
    <row r="709" spans="1:9" x14ac:dyDescent="0.3">
      <c r="A709" t="s">
        <v>956</v>
      </c>
      <c r="B709" t="s">
        <v>955</v>
      </c>
      <c r="C709">
        <f t="shared" si="11"/>
        <v>45839</v>
      </c>
      <c r="D709">
        <v>6100</v>
      </c>
      <c r="E709" t="str">
        <f>INDEX(Accounts!$B$2:$B$9,MATCH(D709,Accounts!$A$2:$A$9,0))</f>
        <v>Marketing Expense</v>
      </c>
      <c r="F709" t="str">
        <f>INDEX(Accounts!$C$2:$C$9,MATCH(D709,Accounts!$A$2:$A$9,0))</f>
        <v>Operating Expense</v>
      </c>
      <c r="G709" t="s">
        <v>43</v>
      </c>
      <c r="H709" t="s">
        <v>44</v>
      </c>
      <c r="I709">
        <v>3350</v>
      </c>
    </row>
    <row r="710" spans="1:9" x14ac:dyDescent="0.3">
      <c r="A710" t="s">
        <v>957</v>
      </c>
      <c r="B710" t="s">
        <v>955</v>
      </c>
      <c r="C710">
        <f t="shared" si="11"/>
        <v>45839</v>
      </c>
      <c r="D710">
        <v>5000</v>
      </c>
      <c r="E710" t="str">
        <f>INDEX(Accounts!$B$2:$B$9,MATCH(D710,Accounts!$A$2:$A$9,0))</f>
        <v>Cost of Goods Sold</v>
      </c>
      <c r="F710" t="str">
        <f>INDEX(Accounts!$C$2:$C$9,MATCH(D710,Accounts!$A$2:$A$9,0))</f>
        <v>COGS</v>
      </c>
      <c r="G710" t="s">
        <v>43</v>
      </c>
      <c r="H710" t="s">
        <v>46</v>
      </c>
      <c r="I710">
        <v>18936</v>
      </c>
    </row>
    <row r="711" spans="1:9" x14ac:dyDescent="0.3">
      <c r="A711" t="s">
        <v>958</v>
      </c>
      <c r="B711" t="s">
        <v>959</v>
      </c>
      <c r="C711">
        <f t="shared" si="11"/>
        <v>45839</v>
      </c>
      <c r="D711">
        <v>6000</v>
      </c>
      <c r="E711" t="str">
        <f>INDEX(Accounts!$B$2:$B$9,MATCH(D711,Accounts!$A$2:$A$9,0))</f>
        <v>Salaries &amp; Wages</v>
      </c>
      <c r="F711" t="str">
        <f>INDEX(Accounts!$C$2:$C$9,MATCH(D711,Accounts!$A$2:$A$9,0))</f>
        <v>Operating Expense</v>
      </c>
      <c r="G711" t="s">
        <v>45</v>
      </c>
      <c r="H711" t="s">
        <v>42</v>
      </c>
      <c r="I711">
        <v>5546</v>
      </c>
    </row>
    <row r="712" spans="1:9" x14ac:dyDescent="0.3">
      <c r="A712" t="s">
        <v>960</v>
      </c>
      <c r="B712" t="s">
        <v>959</v>
      </c>
      <c r="C712">
        <f t="shared" si="11"/>
        <v>45839</v>
      </c>
      <c r="D712">
        <v>5000</v>
      </c>
      <c r="E712" t="str">
        <f>INDEX(Accounts!$B$2:$B$9,MATCH(D712,Accounts!$A$2:$A$9,0))</f>
        <v>Cost of Goods Sold</v>
      </c>
      <c r="F712" t="str">
        <f>INDEX(Accounts!$C$2:$C$9,MATCH(D712,Accounts!$A$2:$A$9,0))</f>
        <v>COGS</v>
      </c>
      <c r="G712" t="s">
        <v>47</v>
      </c>
      <c r="H712" t="s">
        <v>46</v>
      </c>
      <c r="I712">
        <v>50661</v>
      </c>
    </row>
    <row r="713" spans="1:9" x14ac:dyDescent="0.3">
      <c r="A713" t="s">
        <v>961</v>
      </c>
      <c r="B713" t="s">
        <v>962</v>
      </c>
      <c r="C713">
        <f t="shared" si="11"/>
        <v>45839</v>
      </c>
      <c r="D713">
        <v>4000</v>
      </c>
      <c r="E713" t="str">
        <f>INDEX(Accounts!$B$2:$B$9,MATCH(D713,Accounts!$A$2:$A$9,0))</f>
        <v>Product Sales</v>
      </c>
      <c r="F713" t="str">
        <f>INDEX(Accounts!$C$2:$C$9,MATCH(D713,Accounts!$A$2:$A$9,0))</f>
        <v>Revenue</v>
      </c>
      <c r="G713" t="s">
        <v>41</v>
      </c>
      <c r="H713" t="s">
        <v>42</v>
      </c>
      <c r="I713">
        <v>40851</v>
      </c>
    </row>
    <row r="714" spans="1:9" x14ac:dyDescent="0.3">
      <c r="A714" t="s">
        <v>963</v>
      </c>
      <c r="B714" t="s">
        <v>962</v>
      </c>
      <c r="C714">
        <f t="shared" si="11"/>
        <v>45839</v>
      </c>
      <c r="D714">
        <v>4000</v>
      </c>
      <c r="E714" t="str">
        <f>INDEX(Accounts!$B$2:$B$9,MATCH(D714,Accounts!$A$2:$A$9,0))</f>
        <v>Product Sales</v>
      </c>
      <c r="F714" t="str">
        <f>INDEX(Accounts!$C$2:$C$9,MATCH(D714,Accounts!$A$2:$A$9,0))</f>
        <v>Revenue</v>
      </c>
      <c r="G714" t="s">
        <v>41</v>
      </c>
      <c r="H714" t="s">
        <v>44</v>
      </c>
      <c r="I714">
        <v>44616</v>
      </c>
    </row>
    <row r="715" spans="1:9" x14ac:dyDescent="0.3">
      <c r="A715" t="s">
        <v>964</v>
      </c>
      <c r="B715" t="s">
        <v>962</v>
      </c>
      <c r="C715">
        <f t="shared" si="11"/>
        <v>45839</v>
      </c>
      <c r="D715">
        <v>6000</v>
      </c>
      <c r="E715" t="str">
        <f>INDEX(Accounts!$B$2:$B$9,MATCH(D715,Accounts!$A$2:$A$9,0))</f>
        <v>Salaries &amp; Wages</v>
      </c>
      <c r="F715" t="str">
        <f>INDEX(Accounts!$C$2:$C$9,MATCH(D715,Accounts!$A$2:$A$9,0))</f>
        <v>Operating Expense</v>
      </c>
      <c r="G715" t="s">
        <v>43</v>
      </c>
      <c r="H715" t="s">
        <v>42</v>
      </c>
      <c r="I715">
        <v>12758</v>
      </c>
    </row>
    <row r="716" spans="1:9" x14ac:dyDescent="0.3">
      <c r="A716" t="s">
        <v>965</v>
      </c>
      <c r="B716" t="s">
        <v>962</v>
      </c>
      <c r="C716">
        <f t="shared" si="11"/>
        <v>45839</v>
      </c>
      <c r="D716">
        <v>4000</v>
      </c>
      <c r="E716" t="str">
        <f>INDEX(Accounts!$B$2:$B$9,MATCH(D716,Accounts!$A$2:$A$9,0))</f>
        <v>Product Sales</v>
      </c>
      <c r="F716" t="str">
        <f>INDEX(Accounts!$C$2:$C$9,MATCH(D716,Accounts!$A$2:$A$9,0))</f>
        <v>Revenue</v>
      </c>
      <c r="G716" t="s">
        <v>48</v>
      </c>
      <c r="H716" t="s">
        <v>44</v>
      </c>
      <c r="I716">
        <v>167114</v>
      </c>
    </row>
    <row r="717" spans="1:9" x14ac:dyDescent="0.3">
      <c r="A717" t="s">
        <v>966</v>
      </c>
      <c r="B717" t="s">
        <v>967</v>
      </c>
      <c r="C717">
        <f t="shared" si="11"/>
        <v>45839</v>
      </c>
      <c r="D717">
        <v>5000</v>
      </c>
      <c r="E717" t="str">
        <f>INDEX(Accounts!$B$2:$B$9,MATCH(D717,Accounts!$A$2:$A$9,0))</f>
        <v>Cost of Goods Sold</v>
      </c>
      <c r="F717" t="str">
        <f>INDEX(Accounts!$C$2:$C$9,MATCH(D717,Accounts!$A$2:$A$9,0))</f>
        <v>COGS</v>
      </c>
      <c r="G717" t="s">
        <v>45</v>
      </c>
      <c r="H717" t="s">
        <v>44</v>
      </c>
      <c r="I717">
        <v>50347</v>
      </c>
    </row>
    <row r="718" spans="1:9" x14ac:dyDescent="0.3">
      <c r="A718" t="s">
        <v>968</v>
      </c>
      <c r="B718" t="s">
        <v>967</v>
      </c>
      <c r="C718">
        <f t="shared" si="11"/>
        <v>45839</v>
      </c>
      <c r="D718">
        <v>6000</v>
      </c>
      <c r="E718" t="str">
        <f>INDEX(Accounts!$B$2:$B$9,MATCH(D718,Accounts!$A$2:$A$9,0))</f>
        <v>Salaries &amp; Wages</v>
      </c>
      <c r="F718" t="str">
        <f>INDEX(Accounts!$C$2:$C$9,MATCH(D718,Accounts!$A$2:$A$9,0))</f>
        <v>Operating Expense</v>
      </c>
      <c r="G718" t="s">
        <v>41</v>
      </c>
      <c r="H718" t="s">
        <v>46</v>
      </c>
      <c r="I718">
        <v>26563</v>
      </c>
    </row>
    <row r="719" spans="1:9" x14ac:dyDescent="0.3">
      <c r="A719" t="s">
        <v>969</v>
      </c>
      <c r="B719" t="s">
        <v>967</v>
      </c>
      <c r="C719">
        <f t="shared" si="11"/>
        <v>45839</v>
      </c>
      <c r="D719">
        <v>4000</v>
      </c>
      <c r="E719" t="str">
        <f>INDEX(Accounts!$B$2:$B$9,MATCH(D719,Accounts!$A$2:$A$9,0))</f>
        <v>Product Sales</v>
      </c>
      <c r="F719" t="str">
        <f>INDEX(Accounts!$C$2:$C$9,MATCH(D719,Accounts!$A$2:$A$9,0))</f>
        <v>Revenue</v>
      </c>
      <c r="G719" t="s">
        <v>41</v>
      </c>
      <c r="H719" t="s">
        <v>44</v>
      </c>
      <c r="I719">
        <v>169359</v>
      </c>
    </row>
    <row r="720" spans="1:9" x14ac:dyDescent="0.3">
      <c r="A720" t="s">
        <v>970</v>
      </c>
      <c r="B720" t="s">
        <v>967</v>
      </c>
      <c r="C720">
        <f t="shared" si="11"/>
        <v>45839</v>
      </c>
      <c r="D720">
        <v>4000</v>
      </c>
      <c r="E720" t="str">
        <f>INDEX(Accounts!$B$2:$B$9,MATCH(D720,Accounts!$A$2:$A$9,0))</f>
        <v>Product Sales</v>
      </c>
      <c r="F720" t="str">
        <f>INDEX(Accounts!$C$2:$C$9,MATCH(D720,Accounts!$A$2:$A$9,0))</f>
        <v>Revenue</v>
      </c>
      <c r="G720" t="s">
        <v>43</v>
      </c>
      <c r="H720" t="s">
        <v>42</v>
      </c>
      <c r="I720">
        <v>111962</v>
      </c>
    </row>
    <row r="721" spans="1:9" x14ac:dyDescent="0.3">
      <c r="A721" t="s">
        <v>971</v>
      </c>
      <c r="B721" t="s">
        <v>972</v>
      </c>
      <c r="C721">
        <f t="shared" si="11"/>
        <v>45839</v>
      </c>
      <c r="D721">
        <v>6000</v>
      </c>
      <c r="E721" t="str">
        <f>INDEX(Accounts!$B$2:$B$9,MATCH(D721,Accounts!$A$2:$A$9,0))</f>
        <v>Salaries &amp; Wages</v>
      </c>
      <c r="F721" t="str">
        <f>INDEX(Accounts!$C$2:$C$9,MATCH(D721,Accounts!$A$2:$A$9,0))</f>
        <v>Operating Expense</v>
      </c>
      <c r="G721" t="s">
        <v>45</v>
      </c>
      <c r="H721" t="s">
        <v>44</v>
      </c>
      <c r="I721">
        <v>7739</v>
      </c>
    </row>
    <row r="722" spans="1:9" x14ac:dyDescent="0.3">
      <c r="A722" t="s">
        <v>973</v>
      </c>
      <c r="B722" t="s">
        <v>972</v>
      </c>
      <c r="C722">
        <f t="shared" si="11"/>
        <v>45839</v>
      </c>
      <c r="D722">
        <v>4000</v>
      </c>
      <c r="E722" t="str">
        <f>INDEX(Accounts!$B$2:$B$9,MATCH(D722,Accounts!$A$2:$A$9,0))</f>
        <v>Product Sales</v>
      </c>
      <c r="F722" t="str">
        <f>INDEX(Accounts!$C$2:$C$9,MATCH(D722,Accounts!$A$2:$A$9,0))</f>
        <v>Revenue</v>
      </c>
      <c r="G722" t="s">
        <v>45</v>
      </c>
      <c r="H722" t="s">
        <v>46</v>
      </c>
      <c r="I722">
        <v>87557</v>
      </c>
    </row>
    <row r="723" spans="1:9" x14ac:dyDescent="0.3">
      <c r="A723" t="s">
        <v>974</v>
      </c>
      <c r="B723" t="s">
        <v>972</v>
      </c>
      <c r="C723">
        <f t="shared" si="11"/>
        <v>45839</v>
      </c>
      <c r="D723">
        <v>6000</v>
      </c>
      <c r="E723" t="str">
        <f>INDEX(Accounts!$B$2:$B$9,MATCH(D723,Accounts!$A$2:$A$9,0))</f>
        <v>Salaries &amp; Wages</v>
      </c>
      <c r="F723" t="str">
        <f>INDEX(Accounts!$C$2:$C$9,MATCH(D723,Accounts!$A$2:$A$9,0))</f>
        <v>Operating Expense</v>
      </c>
      <c r="G723" t="s">
        <v>48</v>
      </c>
      <c r="H723" t="s">
        <v>42</v>
      </c>
      <c r="I723">
        <v>15851</v>
      </c>
    </row>
    <row r="724" spans="1:9" x14ac:dyDescent="0.3">
      <c r="A724" t="s">
        <v>975</v>
      </c>
      <c r="B724" t="s">
        <v>972</v>
      </c>
      <c r="C724">
        <f t="shared" si="11"/>
        <v>45839</v>
      </c>
      <c r="D724">
        <v>6300</v>
      </c>
      <c r="E724" t="str">
        <f>INDEX(Accounts!$B$2:$B$9,MATCH(D724,Accounts!$A$2:$A$9,0))</f>
        <v>Logistics Expense</v>
      </c>
      <c r="F724" t="str">
        <f>INDEX(Accounts!$C$2:$C$9,MATCH(D724,Accounts!$A$2:$A$9,0))</f>
        <v>Operating Expense</v>
      </c>
      <c r="G724" t="s">
        <v>41</v>
      </c>
      <c r="H724" t="s">
        <v>46</v>
      </c>
      <c r="I724">
        <v>12477</v>
      </c>
    </row>
    <row r="725" spans="1:9" x14ac:dyDescent="0.3">
      <c r="A725" t="s">
        <v>976</v>
      </c>
      <c r="B725" t="s">
        <v>972</v>
      </c>
      <c r="C725">
        <f t="shared" si="11"/>
        <v>45839</v>
      </c>
      <c r="D725">
        <v>6100</v>
      </c>
      <c r="E725" t="str">
        <f>INDEX(Accounts!$B$2:$B$9,MATCH(D725,Accounts!$A$2:$A$9,0))</f>
        <v>Marketing Expense</v>
      </c>
      <c r="F725" t="str">
        <f>INDEX(Accounts!$C$2:$C$9,MATCH(D725,Accounts!$A$2:$A$9,0))</f>
        <v>Operating Expense</v>
      </c>
      <c r="G725" t="s">
        <v>43</v>
      </c>
      <c r="H725" t="s">
        <v>42</v>
      </c>
      <c r="I725">
        <v>6345</v>
      </c>
    </row>
    <row r="726" spans="1:9" x14ac:dyDescent="0.3">
      <c r="A726" t="s">
        <v>977</v>
      </c>
      <c r="B726" t="s">
        <v>978</v>
      </c>
      <c r="C726">
        <f t="shared" si="11"/>
        <v>45839</v>
      </c>
      <c r="D726">
        <v>6300</v>
      </c>
      <c r="E726" t="str">
        <f>INDEX(Accounts!$B$2:$B$9,MATCH(D726,Accounts!$A$2:$A$9,0))</f>
        <v>Logistics Expense</v>
      </c>
      <c r="F726" t="str">
        <f>INDEX(Accounts!$C$2:$C$9,MATCH(D726,Accounts!$A$2:$A$9,0))</f>
        <v>Operating Expense</v>
      </c>
      <c r="G726" t="s">
        <v>41</v>
      </c>
      <c r="H726" t="s">
        <v>46</v>
      </c>
      <c r="I726">
        <v>2252</v>
      </c>
    </row>
    <row r="727" spans="1:9" x14ac:dyDescent="0.3">
      <c r="A727" t="s">
        <v>979</v>
      </c>
      <c r="B727" t="s">
        <v>980</v>
      </c>
      <c r="C727">
        <f t="shared" si="11"/>
        <v>45839</v>
      </c>
      <c r="D727">
        <v>6400</v>
      </c>
      <c r="E727" t="str">
        <f>INDEX(Accounts!$B$2:$B$9,MATCH(D727,Accounts!$A$2:$A$9,0))</f>
        <v>Software &amp; Admin</v>
      </c>
      <c r="F727" t="str">
        <f>INDEX(Accounts!$C$2:$C$9,MATCH(D727,Accounts!$A$2:$A$9,0))</f>
        <v>Operating Expense</v>
      </c>
      <c r="G727" t="s">
        <v>45</v>
      </c>
      <c r="H727" t="s">
        <v>44</v>
      </c>
      <c r="I727">
        <v>8457</v>
      </c>
    </row>
    <row r="728" spans="1:9" x14ac:dyDescent="0.3">
      <c r="A728" t="s">
        <v>981</v>
      </c>
      <c r="B728" t="s">
        <v>980</v>
      </c>
      <c r="C728">
        <f t="shared" si="11"/>
        <v>45839</v>
      </c>
      <c r="D728">
        <v>6300</v>
      </c>
      <c r="E728" t="str">
        <f>INDEX(Accounts!$B$2:$B$9,MATCH(D728,Accounts!$A$2:$A$9,0))</f>
        <v>Logistics Expense</v>
      </c>
      <c r="F728" t="str">
        <f>INDEX(Accounts!$C$2:$C$9,MATCH(D728,Accounts!$A$2:$A$9,0))</f>
        <v>Operating Expense</v>
      </c>
      <c r="G728" t="s">
        <v>43</v>
      </c>
      <c r="H728" t="s">
        <v>46</v>
      </c>
      <c r="I728">
        <v>2891</v>
      </c>
    </row>
    <row r="729" spans="1:9" x14ac:dyDescent="0.3">
      <c r="A729" t="s">
        <v>982</v>
      </c>
      <c r="B729" t="s">
        <v>980</v>
      </c>
      <c r="C729">
        <f t="shared" si="11"/>
        <v>45839</v>
      </c>
      <c r="D729">
        <v>5000</v>
      </c>
      <c r="E729" t="str">
        <f>INDEX(Accounts!$B$2:$B$9,MATCH(D729,Accounts!$A$2:$A$9,0))</f>
        <v>Cost of Goods Sold</v>
      </c>
      <c r="F729" t="str">
        <f>INDEX(Accounts!$C$2:$C$9,MATCH(D729,Accounts!$A$2:$A$9,0))</f>
        <v>COGS</v>
      </c>
      <c r="G729" t="s">
        <v>43</v>
      </c>
      <c r="H729" t="s">
        <v>44</v>
      </c>
      <c r="I729">
        <v>30546</v>
      </c>
    </row>
    <row r="730" spans="1:9" x14ac:dyDescent="0.3">
      <c r="A730" t="s">
        <v>983</v>
      </c>
      <c r="B730" t="s">
        <v>980</v>
      </c>
      <c r="C730">
        <f t="shared" si="11"/>
        <v>45839</v>
      </c>
      <c r="D730">
        <v>6400</v>
      </c>
      <c r="E730" t="str">
        <f>INDEX(Accounts!$B$2:$B$9,MATCH(D730,Accounts!$A$2:$A$9,0))</f>
        <v>Software &amp; Admin</v>
      </c>
      <c r="F730" t="str">
        <f>INDEX(Accounts!$C$2:$C$9,MATCH(D730,Accounts!$A$2:$A$9,0))</f>
        <v>Operating Expense</v>
      </c>
      <c r="G730" t="s">
        <v>43</v>
      </c>
      <c r="H730" t="s">
        <v>42</v>
      </c>
      <c r="I730">
        <v>6514</v>
      </c>
    </row>
    <row r="731" spans="1:9" x14ac:dyDescent="0.3">
      <c r="A731" t="s">
        <v>984</v>
      </c>
      <c r="B731" t="s">
        <v>980</v>
      </c>
      <c r="C731">
        <f t="shared" si="11"/>
        <v>45839</v>
      </c>
      <c r="D731">
        <v>6400</v>
      </c>
      <c r="E731" t="str">
        <f>INDEX(Accounts!$B$2:$B$9,MATCH(D731,Accounts!$A$2:$A$9,0))</f>
        <v>Software &amp; Admin</v>
      </c>
      <c r="F731" t="str">
        <f>INDEX(Accounts!$C$2:$C$9,MATCH(D731,Accounts!$A$2:$A$9,0))</f>
        <v>Operating Expense</v>
      </c>
      <c r="G731" t="s">
        <v>45</v>
      </c>
      <c r="H731" t="s">
        <v>46</v>
      </c>
      <c r="I731">
        <v>6846</v>
      </c>
    </row>
    <row r="732" spans="1:9" x14ac:dyDescent="0.3">
      <c r="A732" t="s">
        <v>985</v>
      </c>
      <c r="B732" t="s">
        <v>986</v>
      </c>
      <c r="C732">
        <f t="shared" si="11"/>
        <v>45839</v>
      </c>
      <c r="D732">
        <v>6000</v>
      </c>
      <c r="E732" t="str">
        <f>INDEX(Accounts!$B$2:$B$9,MATCH(D732,Accounts!$A$2:$A$9,0))</f>
        <v>Salaries &amp; Wages</v>
      </c>
      <c r="F732" t="str">
        <f>INDEX(Accounts!$C$2:$C$9,MATCH(D732,Accounts!$A$2:$A$9,0))</f>
        <v>Operating Expense</v>
      </c>
      <c r="G732" t="s">
        <v>45</v>
      </c>
      <c r="H732" t="s">
        <v>46</v>
      </c>
      <c r="I732">
        <v>5878</v>
      </c>
    </row>
    <row r="733" spans="1:9" x14ac:dyDescent="0.3">
      <c r="A733" t="s">
        <v>987</v>
      </c>
      <c r="B733" t="s">
        <v>986</v>
      </c>
      <c r="C733">
        <f t="shared" si="11"/>
        <v>45839</v>
      </c>
      <c r="D733">
        <v>4000</v>
      </c>
      <c r="E733" t="str">
        <f>INDEX(Accounts!$B$2:$B$9,MATCH(D733,Accounts!$A$2:$A$9,0))</f>
        <v>Product Sales</v>
      </c>
      <c r="F733" t="str">
        <f>INDEX(Accounts!$C$2:$C$9,MATCH(D733,Accounts!$A$2:$A$9,0))</f>
        <v>Revenue</v>
      </c>
      <c r="G733" t="s">
        <v>41</v>
      </c>
      <c r="H733" t="s">
        <v>42</v>
      </c>
      <c r="I733">
        <v>27975</v>
      </c>
    </row>
    <row r="734" spans="1:9" x14ac:dyDescent="0.3">
      <c r="A734" t="s">
        <v>988</v>
      </c>
      <c r="B734" t="s">
        <v>986</v>
      </c>
      <c r="C734">
        <f t="shared" si="11"/>
        <v>45839</v>
      </c>
      <c r="D734">
        <v>6000</v>
      </c>
      <c r="E734" t="str">
        <f>INDEX(Accounts!$B$2:$B$9,MATCH(D734,Accounts!$A$2:$A$9,0))</f>
        <v>Salaries &amp; Wages</v>
      </c>
      <c r="F734" t="str">
        <f>INDEX(Accounts!$C$2:$C$9,MATCH(D734,Accounts!$A$2:$A$9,0))</f>
        <v>Operating Expense</v>
      </c>
      <c r="G734" t="s">
        <v>41</v>
      </c>
      <c r="H734" t="s">
        <v>42</v>
      </c>
      <c r="I734">
        <v>31342</v>
      </c>
    </row>
    <row r="735" spans="1:9" x14ac:dyDescent="0.3">
      <c r="A735" t="s">
        <v>989</v>
      </c>
      <c r="B735" t="s">
        <v>986</v>
      </c>
      <c r="C735">
        <f t="shared" si="11"/>
        <v>45839</v>
      </c>
      <c r="D735">
        <v>6000</v>
      </c>
      <c r="E735" t="str">
        <f>INDEX(Accounts!$B$2:$B$9,MATCH(D735,Accounts!$A$2:$A$9,0))</f>
        <v>Salaries &amp; Wages</v>
      </c>
      <c r="F735" t="str">
        <f>INDEX(Accounts!$C$2:$C$9,MATCH(D735,Accounts!$A$2:$A$9,0))</f>
        <v>Operating Expense</v>
      </c>
      <c r="G735" t="s">
        <v>41</v>
      </c>
      <c r="H735" t="s">
        <v>46</v>
      </c>
      <c r="I735">
        <v>5058</v>
      </c>
    </row>
    <row r="736" spans="1:9" x14ac:dyDescent="0.3">
      <c r="A736" t="s">
        <v>990</v>
      </c>
      <c r="B736" t="s">
        <v>986</v>
      </c>
      <c r="C736">
        <f t="shared" si="11"/>
        <v>45839</v>
      </c>
      <c r="D736">
        <v>4000</v>
      </c>
      <c r="E736" t="str">
        <f>INDEX(Accounts!$B$2:$B$9,MATCH(D736,Accounts!$A$2:$A$9,0))</f>
        <v>Product Sales</v>
      </c>
      <c r="F736" t="str">
        <f>INDEX(Accounts!$C$2:$C$9,MATCH(D736,Accounts!$A$2:$A$9,0))</f>
        <v>Revenue</v>
      </c>
      <c r="G736" t="s">
        <v>43</v>
      </c>
      <c r="H736" t="s">
        <v>44</v>
      </c>
      <c r="I736">
        <v>69010</v>
      </c>
    </row>
    <row r="737" spans="1:9" x14ac:dyDescent="0.3">
      <c r="A737" t="s">
        <v>991</v>
      </c>
      <c r="B737" t="s">
        <v>986</v>
      </c>
      <c r="C737">
        <f t="shared" si="11"/>
        <v>45839</v>
      </c>
      <c r="D737">
        <v>4000</v>
      </c>
      <c r="E737" t="str">
        <f>INDEX(Accounts!$B$2:$B$9,MATCH(D737,Accounts!$A$2:$A$9,0))</f>
        <v>Product Sales</v>
      </c>
      <c r="F737" t="str">
        <f>INDEX(Accounts!$C$2:$C$9,MATCH(D737,Accounts!$A$2:$A$9,0))</f>
        <v>Revenue</v>
      </c>
      <c r="G737" t="s">
        <v>43</v>
      </c>
      <c r="H737" t="s">
        <v>46</v>
      </c>
      <c r="I737">
        <v>135009</v>
      </c>
    </row>
    <row r="738" spans="1:9" x14ac:dyDescent="0.3">
      <c r="A738" t="s">
        <v>992</v>
      </c>
      <c r="B738" t="s">
        <v>993</v>
      </c>
      <c r="C738">
        <f t="shared" si="11"/>
        <v>45839</v>
      </c>
      <c r="D738">
        <v>6300</v>
      </c>
      <c r="E738" t="str">
        <f>INDEX(Accounts!$B$2:$B$9,MATCH(D738,Accounts!$A$2:$A$9,0))</f>
        <v>Logistics Expense</v>
      </c>
      <c r="F738" t="str">
        <f>INDEX(Accounts!$C$2:$C$9,MATCH(D738,Accounts!$A$2:$A$9,0))</f>
        <v>Operating Expense</v>
      </c>
      <c r="G738" t="s">
        <v>45</v>
      </c>
      <c r="H738" t="s">
        <v>42</v>
      </c>
      <c r="I738">
        <v>1980</v>
      </c>
    </row>
    <row r="739" spans="1:9" x14ac:dyDescent="0.3">
      <c r="A739" t="s">
        <v>994</v>
      </c>
      <c r="B739" t="s">
        <v>993</v>
      </c>
      <c r="C739">
        <f t="shared" si="11"/>
        <v>45839</v>
      </c>
      <c r="D739">
        <v>6000</v>
      </c>
      <c r="E739" t="str">
        <f>INDEX(Accounts!$B$2:$B$9,MATCH(D739,Accounts!$A$2:$A$9,0))</f>
        <v>Salaries &amp; Wages</v>
      </c>
      <c r="F739" t="str">
        <f>INDEX(Accounts!$C$2:$C$9,MATCH(D739,Accounts!$A$2:$A$9,0))</f>
        <v>Operating Expense</v>
      </c>
      <c r="G739" t="s">
        <v>47</v>
      </c>
      <c r="H739" t="s">
        <v>46</v>
      </c>
      <c r="I739">
        <v>15076</v>
      </c>
    </row>
    <row r="740" spans="1:9" x14ac:dyDescent="0.3">
      <c r="A740" t="s">
        <v>995</v>
      </c>
      <c r="B740" t="s">
        <v>993</v>
      </c>
      <c r="C740">
        <f t="shared" si="11"/>
        <v>45839</v>
      </c>
      <c r="D740">
        <v>6100</v>
      </c>
      <c r="E740" t="str">
        <f>INDEX(Accounts!$B$2:$B$9,MATCH(D740,Accounts!$A$2:$A$9,0))</f>
        <v>Marketing Expense</v>
      </c>
      <c r="F740" t="str">
        <f>INDEX(Accounts!$C$2:$C$9,MATCH(D740,Accounts!$A$2:$A$9,0))</f>
        <v>Operating Expense</v>
      </c>
      <c r="G740" t="s">
        <v>41</v>
      </c>
      <c r="H740" t="s">
        <v>42</v>
      </c>
      <c r="I740">
        <v>4693</v>
      </c>
    </row>
    <row r="741" spans="1:9" x14ac:dyDescent="0.3">
      <c r="A741" t="s">
        <v>996</v>
      </c>
      <c r="B741" t="s">
        <v>997</v>
      </c>
      <c r="C741">
        <f t="shared" si="11"/>
        <v>45839</v>
      </c>
      <c r="D741">
        <v>4000</v>
      </c>
      <c r="E741" t="str">
        <f>INDEX(Accounts!$B$2:$B$9,MATCH(D741,Accounts!$A$2:$A$9,0))</f>
        <v>Product Sales</v>
      </c>
      <c r="F741" t="str">
        <f>INDEX(Accounts!$C$2:$C$9,MATCH(D741,Accounts!$A$2:$A$9,0))</f>
        <v>Revenue</v>
      </c>
      <c r="G741" t="s">
        <v>41</v>
      </c>
      <c r="H741" t="s">
        <v>42</v>
      </c>
      <c r="I741">
        <v>59266</v>
      </c>
    </row>
    <row r="742" spans="1:9" x14ac:dyDescent="0.3">
      <c r="A742" t="s">
        <v>998</v>
      </c>
      <c r="B742" t="s">
        <v>997</v>
      </c>
      <c r="C742">
        <f t="shared" si="11"/>
        <v>45839</v>
      </c>
      <c r="D742">
        <v>6000</v>
      </c>
      <c r="E742" t="str">
        <f>INDEX(Accounts!$B$2:$B$9,MATCH(D742,Accounts!$A$2:$A$9,0))</f>
        <v>Salaries &amp; Wages</v>
      </c>
      <c r="F742" t="str">
        <f>INDEX(Accounts!$C$2:$C$9,MATCH(D742,Accounts!$A$2:$A$9,0))</f>
        <v>Operating Expense</v>
      </c>
      <c r="G742" t="s">
        <v>41</v>
      </c>
      <c r="H742" t="s">
        <v>44</v>
      </c>
      <c r="I742">
        <v>30621</v>
      </c>
    </row>
    <row r="743" spans="1:9" x14ac:dyDescent="0.3">
      <c r="A743" t="s">
        <v>999</v>
      </c>
      <c r="B743" t="s">
        <v>997</v>
      </c>
      <c r="C743">
        <f t="shared" si="11"/>
        <v>45839</v>
      </c>
      <c r="D743">
        <v>6400</v>
      </c>
      <c r="E743" t="str">
        <f>INDEX(Accounts!$B$2:$B$9,MATCH(D743,Accounts!$A$2:$A$9,0))</f>
        <v>Software &amp; Admin</v>
      </c>
      <c r="F743" t="str">
        <f>INDEX(Accounts!$C$2:$C$9,MATCH(D743,Accounts!$A$2:$A$9,0))</f>
        <v>Operating Expense</v>
      </c>
      <c r="G743" t="s">
        <v>43</v>
      </c>
      <c r="H743" t="s">
        <v>46</v>
      </c>
      <c r="I743">
        <v>4813</v>
      </c>
    </row>
    <row r="744" spans="1:9" x14ac:dyDescent="0.3">
      <c r="A744" t="s">
        <v>1000</v>
      </c>
      <c r="B744" t="s">
        <v>997</v>
      </c>
      <c r="C744">
        <f t="shared" si="11"/>
        <v>45839</v>
      </c>
      <c r="D744">
        <v>6000</v>
      </c>
      <c r="E744" t="str">
        <f>INDEX(Accounts!$B$2:$B$9,MATCH(D744,Accounts!$A$2:$A$9,0))</f>
        <v>Salaries &amp; Wages</v>
      </c>
      <c r="F744" t="str">
        <f>INDEX(Accounts!$C$2:$C$9,MATCH(D744,Accounts!$A$2:$A$9,0))</f>
        <v>Operating Expense</v>
      </c>
      <c r="G744" t="s">
        <v>43</v>
      </c>
      <c r="H744" t="s">
        <v>44</v>
      </c>
      <c r="I744">
        <v>10708</v>
      </c>
    </row>
    <row r="745" spans="1:9" x14ac:dyDescent="0.3">
      <c r="A745" t="s">
        <v>1001</v>
      </c>
      <c r="B745" t="s">
        <v>1002</v>
      </c>
      <c r="C745">
        <f t="shared" si="11"/>
        <v>45839</v>
      </c>
      <c r="D745">
        <v>6100</v>
      </c>
      <c r="E745" t="str">
        <f>INDEX(Accounts!$B$2:$B$9,MATCH(D745,Accounts!$A$2:$A$9,0))</f>
        <v>Marketing Expense</v>
      </c>
      <c r="F745" t="str">
        <f>INDEX(Accounts!$C$2:$C$9,MATCH(D745,Accounts!$A$2:$A$9,0))</f>
        <v>Operating Expense</v>
      </c>
      <c r="G745" t="s">
        <v>41</v>
      </c>
      <c r="H745" t="s">
        <v>46</v>
      </c>
      <c r="I745">
        <v>4340</v>
      </c>
    </row>
    <row r="746" spans="1:9" x14ac:dyDescent="0.3">
      <c r="A746" t="s">
        <v>1003</v>
      </c>
      <c r="B746" t="s">
        <v>1002</v>
      </c>
      <c r="C746">
        <f t="shared" si="11"/>
        <v>45839</v>
      </c>
      <c r="D746">
        <v>6100</v>
      </c>
      <c r="E746" t="str">
        <f>INDEX(Accounts!$B$2:$B$9,MATCH(D746,Accounts!$A$2:$A$9,0))</f>
        <v>Marketing Expense</v>
      </c>
      <c r="F746" t="str">
        <f>INDEX(Accounts!$C$2:$C$9,MATCH(D746,Accounts!$A$2:$A$9,0))</f>
        <v>Operating Expense</v>
      </c>
      <c r="G746" t="s">
        <v>41</v>
      </c>
      <c r="H746" t="s">
        <v>42</v>
      </c>
      <c r="I746">
        <v>14284</v>
      </c>
    </row>
    <row r="747" spans="1:9" x14ac:dyDescent="0.3">
      <c r="A747" t="s">
        <v>1004</v>
      </c>
      <c r="B747" t="s">
        <v>1002</v>
      </c>
      <c r="C747">
        <f t="shared" si="11"/>
        <v>45839</v>
      </c>
      <c r="D747">
        <v>6100</v>
      </c>
      <c r="E747" t="str">
        <f>INDEX(Accounts!$B$2:$B$9,MATCH(D747,Accounts!$A$2:$A$9,0))</f>
        <v>Marketing Expense</v>
      </c>
      <c r="F747" t="str">
        <f>INDEX(Accounts!$C$2:$C$9,MATCH(D747,Accounts!$A$2:$A$9,0))</f>
        <v>Operating Expense</v>
      </c>
      <c r="G747" t="s">
        <v>41</v>
      </c>
      <c r="H747" t="s">
        <v>44</v>
      </c>
      <c r="I747">
        <v>2023</v>
      </c>
    </row>
    <row r="748" spans="1:9" x14ac:dyDescent="0.3">
      <c r="A748" t="s">
        <v>1005</v>
      </c>
      <c r="B748" t="s">
        <v>1002</v>
      </c>
      <c r="C748">
        <f t="shared" si="11"/>
        <v>45839</v>
      </c>
      <c r="D748">
        <v>6100</v>
      </c>
      <c r="E748" t="str">
        <f>INDEX(Accounts!$B$2:$B$9,MATCH(D748,Accounts!$A$2:$A$9,0))</f>
        <v>Marketing Expense</v>
      </c>
      <c r="F748" t="str">
        <f>INDEX(Accounts!$C$2:$C$9,MATCH(D748,Accounts!$A$2:$A$9,0))</f>
        <v>Operating Expense</v>
      </c>
      <c r="G748" t="s">
        <v>45</v>
      </c>
      <c r="H748" t="s">
        <v>42</v>
      </c>
      <c r="I748">
        <v>15695</v>
      </c>
    </row>
    <row r="749" spans="1:9" x14ac:dyDescent="0.3">
      <c r="A749" t="s">
        <v>1006</v>
      </c>
      <c r="B749" t="s">
        <v>1002</v>
      </c>
      <c r="C749">
        <f t="shared" si="11"/>
        <v>45839</v>
      </c>
      <c r="D749">
        <v>6100</v>
      </c>
      <c r="E749" t="str">
        <f>INDEX(Accounts!$B$2:$B$9,MATCH(D749,Accounts!$A$2:$A$9,0))</f>
        <v>Marketing Expense</v>
      </c>
      <c r="F749" t="str">
        <f>INDEX(Accounts!$C$2:$C$9,MATCH(D749,Accounts!$A$2:$A$9,0))</f>
        <v>Operating Expense</v>
      </c>
      <c r="G749" t="s">
        <v>43</v>
      </c>
      <c r="H749" t="s">
        <v>44</v>
      </c>
      <c r="I749">
        <v>13193</v>
      </c>
    </row>
    <row r="750" spans="1:9" x14ac:dyDescent="0.3">
      <c r="A750" t="s">
        <v>1007</v>
      </c>
      <c r="B750" t="s">
        <v>1002</v>
      </c>
      <c r="C750">
        <f t="shared" si="11"/>
        <v>45839</v>
      </c>
      <c r="D750">
        <v>6200</v>
      </c>
      <c r="E750" t="str">
        <f>INDEX(Accounts!$B$2:$B$9,MATCH(D750,Accounts!$A$2:$A$9,0))</f>
        <v>Rent &amp; Utilities</v>
      </c>
      <c r="F750" t="str">
        <f>INDEX(Accounts!$C$2:$C$9,MATCH(D750,Accounts!$A$2:$A$9,0))</f>
        <v>Operating Expense</v>
      </c>
      <c r="G750" t="s">
        <v>45</v>
      </c>
      <c r="H750" t="s">
        <v>42</v>
      </c>
      <c r="I750">
        <v>12432</v>
      </c>
    </row>
    <row r="751" spans="1:9" x14ac:dyDescent="0.3">
      <c r="A751" t="s">
        <v>1008</v>
      </c>
      <c r="B751" t="s">
        <v>1009</v>
      </c>
      <c r="C751">
        <f t="shared" si="11"/>
        <v>45839</v>
      </c>
      <c r="D751">
        <v>6200</v>
      </c>
      <c r="E751" t="str">
        <f>INDEX(Accounts!$B$2:$B$9,MATCH(D751,Accounts!$A$2:$A$9,0))</f>
        <v>Rent &amp; Utilities</v>
      </c>
      <c r="F751" t="str">
        <f>INDEX(Accounts!$C$2:$C$9,MATCH(D751,Accounts!$A$2:$A$9,0))</f>
        <v>Operating Expense</v>
      </c>
      <c r="G751" t="s">
        <v>47</v>
      </c>
      <c r="H751" t="s">
        <v>42</v>
      </c>
      <c r="I751">
        <v>11482</v>
      </c>
    </row>
    <row r="752" spans="1:9" x14ac:dyDescent="0.3">
      <c r="A752" t="s">
        <v>1010</v>
      </c>
      <c r="B752" t="s">
        <v>1009</v>
      </c>
      <c r="C752">
        <f t="shared" si="11"/>
        <v>45839</v>
      </c>
      <c r="D752">
        <v>4100</v>
      </c>
      <c r="E752" t="str">
        <f>INDEX(Accounts!$B$2:$B$9,MATCH(D752,Accounts!$A$2:$A$9,0))</f>
        <v>Sales Returns &amp; Discounts</v>
      </c>
      <c r="F752" t="str">
        <f>INDEX(Accounts!$C$2:$C$9,MATCH(D752,Accounts!$A$2:$A$9,0))</f>
        <v>Contra Revenue</v>
      </c>
      <c r="G752" t="s">
        <v>41</v>
      </c>
      <c r="H752" t="s">
        <v>44</v>
      </c>
      <c r="I752">
        <v>1130</v>
      </c>
    </row>
    <row r="753" spans="1:9" x14ac:dyDescent="0.3">
      <c r="A753" t="s">
        <v>1011</v>
      </c>
      <c r="B753" t="s">
        <v>1009</v>
      </c>
      <c r="C753">
        <f t="shared" si="11"/>
        <v>45839</v>
      </c>
      <c r="D753">
        <v>4000</v>
      </c>
      <c r="E753" t="str">
        <f>INDEX(Accounts!$B$2:$B$9,MATCH(D753,Accounts!$A$2:$A$9,0))</f>
        <v>Product Sales</v>
      </c>
      <c r="F753" t="str">
        <f>INDEX(Accounts!$C$2:$C$9,MATCH(D753,Accounts!$A$2:$A$9,0))</f>
        <v>Revenue</v>
      </c>
      <c r="G753" t="s">
        <v>41</v>
      </c>
      <c r="H753" t="s">
        <v>46</v>
      </c>
      <c r="I753">
        <v>104748</v>
      </c>
    </row>
    <row r="754" spans="1:9" x14ac:dyDescent="0.3">
      <c r="A754" t="s">
        <v>1012</v>
      </c>
      <c r="B754" t="s">
        <v>1009</v>
      </c>
      <c r="C754">
        <f t="shared" si="11"/>
        <v>45839</v>
      </c>
      <c r="D754">
        <v>4100</v>
      </c>
      <c r="E754" t="str">
        <f>INDEX(Accounts!$B$2:$B$9,MATCH(D754,Accounts!$A$2:$A$9,0))</f>
        <v>Sales Returns &amp; Discounts</v>
      </c>
      <c r="F754" t="str">
        <f>INDEX(Accounts!$C$2:$C$9,MATCH(D754,Accounts!$A$2:$A$9,0))</f>
        <v>Contra Revenue</v>
      </c>
      <c r="G754" t="s">
        <v>41</v>
      </c>
      <c r="H754" t="s">
        <v>42</v>
      </c>
      <c r="I754">
        <v>6828</v>
      </c>
    </row>
    <row r="755" spans="1:9" x14ac:dyDescent="0.3">
      <c r="A755" t="s">
        <v>1013</v>
      </c>
      <c r="B755" t="s">
        <v>1009</v>
      </c>
      <c r="C755">
        <f t="shared" si="11"/>
        <v>45839</v>
      </c>
      <c r="D755">
        <v>6400</v>
      </c>
      <c r="E755" t="str">
        <f>INDEX(Accounts!$B$2:$B$9,MATCH(D755,Accounts!$A$2:$A$9,0))</f>
        <v>Software &amp; Admin</v>
      </c>
      <c r="F755" t="str">
        <f>INDEX(Accounts!$C$2:$C$9,MATCH(D755,Accounts!$A$2:$A$9,0))</f>
        <v>Operating Expense</v>
      </c>
      <c r="G755" t="s">
        <v>43</v>
      </c>
      <c r="H755" t="s">
        <v>42</v>
      </c>
      <c r="I755">
        <v>3885</v>
      </c>
    </row>
    <row r="756" spans="1:9" x14ac:dyDescent="0.3">
      <c r="A756" t="s">
        <v>1014</v>
      </c>
      <c r="B756" t="s">
        <v>1009</v>
      </c>
      <c r="C756">
        <f t="shared" si="11"/>
        <v>45839</v>
      </c>
      <c r="D756">
        <v>5000</v>
      </c>
      <c r="E756" t="str">
        <f>INDEX(Accounts!$B$2:$B$9,MATCH(D756,Accounts!$A$2:$A$9,0))</f>
        <v>Cost of Goods Sold</v>
      </c>
      <c r="F756" t="str">
        <f>INDEX(Accounts!$C$2:$C$9,MATCH(D756,Accounts!$A$2:$A$9,0))</f>
        <v>COGS</v>
      </c>
      <c r="G756" t="s">
        <v>43</v>
      </c>
      <c r="H756" t="s">
        <v>42</v>
      </c>
      <c r="I756">
        <v>32483</v>
      </c>
    </row>
    <row r="757" spans="1:9" x14ac:dyDescent="0.3">
      <c r="A757" t="s">
        <v>1015</v>
      </c>
      <c r="B757" t="s">
        <v>1016</v>
      </c>
      <c r="C757">
        <f t="shared" si="11"/>
        <v>45839</v>
      </c>
      <c r="D757">
        <v>4000</v>
      </c>
      <c r="E757" t="str">
        <f>INDEX(Accounts!$B$2:$B$9,MATCH(D757,Accounts!$A$2:$A$9,0))</f>
        <v>Product Sales</v>
      </c>
      <c r="F757" t="str">
        <f>INDEX(Accounts!$C$2:$C$9,MATCH(D757,Accounts!$A$2:$A$9,0))</f>
        <v>Revenue</v>
      </c>
      <c r="G757" t="s">
        <v>45</v>
      </c>
      <c r="H757" t="s">
        <v>46</v>
      </c>
      <c r="I757">
        <v>125671</v>
      </c>
    </row>
    <row r="758" spans="1:9" x14ac:dyDescent="0.3">
      <c r="A758" t="s">
        <v>1017</v>
      </c>
      <c r="B758" t="s">
        <v>1016</v>
      </c>
      <c r="C758">
        <f t="shared" si="11"/>
        <v>45839</v>
      </c>
      <c r="D758">
        <v>6000</v>
      </c>
      <c r="E758" t="str">
        <f>INDEX(Accounts!$B$2:$B$9,MATCH(D758,Accounts!$A$2:$A$9,0))</f>
        <v>Salaries &amp; Wages</v>
      </c>
      <c r="F758" t="str">
        <f>INDEX(Accounts!$C$2:$C$9,MATCH(D758,Accounts!$A$2:$A$9,0))</f>
        <v>Operating Expense</v>
      </c>
      <c r="G758" t="s">
        <v>47</v>
      </c>
      <c r="H758" t="s">
        <v>42</v>
      </c>
      <c r="I758">
        <v>5208</v>
      </c>
    </row>
    <row r="759" spans="1:9" x14ac:dyDescent="0.3">
      <c r="A759" t="s">
        <v>1018</v>
      </c>
      <c r="B759" t="s">
        <v>1016</v>
      </c>
      <c r="C759">
        <f t="shared" si="11"/>
        <v>45839</v>
      </c>
      <c r="D759">
        <v>6200</v>
      </c>
      <c r="E759" t="str">
        <f>INDEX(Accounts!$B$2:$B$9,MATCH(D759,Accounts!$A$2:$A$9,0))</f>
        <v>Rent &amp; Utilities</v>
      </c>
      <c r="F759" t="str">
        <f>INDEX(Accounts!$C$2:$C$9,MATCH(D759,Accounts!$A$2:$A$9,0))</f>
        <v>Operating Expense</v>
      </c>
      <c r="G759" t="s">
        <v>47</v>
      </c>
      <c r="H759" t="s">
        <v>42</v>
      </c>
      <c r="I759">
        <v>3699</v>
      </c>
    </row>
    <row r="760" spans="1:9" x14ac:dyDescent="0.3">
      <c r="A760" t="s">
        <v>1019</v>
      </c>
      <c r="B760" t="s">
        <v>1020</v>
      </c>
      <c r="C760">
        <f t="shared" si="11"/>
        <v>45839</v>
      </c>
      <c r="D760">
        <v>5000</v>
      </c>
      <c r="E760" t="str">
        <f>INDEX(Accounts!$B$2:$B$9,MATCH(D760,Accounts!$A$2:$A$9,0))</f>
        <v>Cost of Goods Sold</v>
      </c>
      <c r="F760" t="str">
        <f>INDEX(Accounts!$C$2:$C$9,MATCH(D760,Accounts!$A$2:$A$9,0))</f>
        <v>COGS</v>
      </c>
      <c r="G760" t="s">
        <v>45</v>
      </c>
      <c r="H760" t="s">
        <v>42</v>
      </c>
      <c r="I760">
        <v>13681</v>
      </c>
    </row>
    <row r="761" spans="1:9" x14ac:dyDescent="0.3">
      <c r="A761" t="s">
        <v>1021</v>
      </c>
      <c r="B761" t="s">
        <v>1020</v>
      </c>
      <c r="C761">
        <f t="shared" si="11"/>
        <v>45839</v>
      </c>
      <c r="D761">
        <v>6400</v>
      </c>
      <c r="E761" t="str">
        <f>INDEX(Accounts!$B$2:$B$9,MATCH(D761,Accounts!$A$2:$A$9,0))</f>
        <v>Software &amp; Admin</v>
      </c>
      <c r="F761" t="str">
        <f>INDEX(Accounts!$C$2:$C$9,MATCH(D761,Accounts!$A$2:$A$9,0))</f>
        <v>Operating Expense</v>
      </c>
      <c r="G761" t="s">
        <v>41</v>
      </c>
      <c r="H761" t="s">
        <v>46</v>
      </c>
      <c r="I761">
        <v>7870</v>
      </c>
    </row>
    <row r="762" spans="1:9" x14ac:dyDescent="0.3">
      <c r="A762" t="s">
        <v>1022</v>
      </c>
      <c r="B762" t="s">
        <v>1020</v>
      </c>
      <c r="C762">
        <f t="shared" si="11"/>
        <v>45839</v>
      </c>
      <c r="D762">
        <v>5000</v>
      </c>
      <c r="E762" t="str">
        <f>INDEX(Accounts!$B$2:$B$9,MATCH(D762,Accounts!$A$2:$A$9,0))</f>
        <v>Cost of Goods Sold</v>
      </c>
      <c r="F762" t="str">
        <f>INDEX(Accounts!$C$2:$C$9,MATCH(D762,Accounts!$A$2:$A$9,0))</f>
        <v>COGS</v>
      </c>
      <c r="G762" t="s">
        <v>41</v>
      </c>
      <c r="H762" t="s">
        <v>44</v>
      </c>
      <c r="I762">
        <v>49677</v>
      </c>
    </row>
    <row r="763" spans="1:9" x14ac:dyDescent="0.3">
      <c r="A763" t="s">
        <v>1023</v>
      </c>
      <c r="B763" t="s">
        <v>1020</v>
      </c>
      <c r="C763">
        <f t="shared" si="11"/>
        <v>45839</v>
      </c>
      <c r="D763">
        <v>6000</v>
      </c>
      <c r="E763" t="str">
        <f>INDEX(Accounts!$B$2:$B$9,MATCH(D763,Accounts!$A$2:$A$9,0))</f>
        <v>Salaries &amp; Wages</v>
      </c>
      <c r="F763" t="str">
        <f>INDEX(Accounts!$C$2:$C$9,MATCH(D763,Accounts!$A$2:$A$9,0))</f>
        <v>Operating Expense</v>
      </c>
      <c r="G763" t="s">
        <v>43</v>
      </c>
      <c r="H763" t="s">
        <v>44</v>
      </c>
      <c r="I763">
        <v>10892</v>
      </c>
    </row>
    <row r="764" spans="1:9" x14ac:dyDescent="0.3">
      <c r="A764" t="s">
        <v>1024</v>
      </c>
      <c r="B764" t="s">
        <v>1020</v>
      </c>
      <c r="C764">
        <f t="shared" si="11"/>
        <v>45839</v>
      </c>
      <c r="D764">
        <v>6000</v>
      </c>
      <c r="E764" t="str">
        <f>INDEX(Accounts!$B$2:$B$9,MATCH(D764,Accounts!$A$2:$A$9,0))</f>
        <v>Salaries &amp; Wages</v>
      </c>
      <c r="F764" t="str">
        <f>INDEX(Accounts!$C$2:$C$9,MATCH(D764,Accounts!$A$2:$A$9,0))</f>
        <v>Operating Expense</v>
      </c>
      <c r="G764" t="s">
        <v>45</v>
      </c>
      <c r="H764" t="s">
        <v>44</v>
      </c>
      <c r="I764">
        <v>23600</v>
      </c>
    </row>
    <row r="765" spans="1:9" x14ac:dyDescent="0.3">
      <c r="A765" t="s">
        <v>1025</v>
      </c>
      <c r="B765" t="s">
        <v>1020</v>
      </c>
      <c r="C765">
        <f t="shared" si="11"/>
        <v>45839</v>
      </c>
      <c r="D765">
        <v>6000</v>
      </c>
      <c r="E765" t="str">
        <f>INDEX(Accounts!$B$2:$B$9,MATCH(D765,Accounts!$A$2:$A$9,0))</f>
        <v>Salaries &amp; Wages</v>
      </c>
      <c r="F765" t="str">
        <f>INDEX(Accounts!$C$2:$C$9,MATCH(D765,Accounts!$A$2:$A$9,0))</f>
        <v>Operating Expense</v>
      </c>
      <c r="G765" t="s">
        <v>47</v>
      </c>
      <c r="H765" t="s">
        <v>44</v>
      </c>
      <c r="I765">
        <v>28492</v>
      </c>
    </row>
    <row r="766" spans="1:9" x14ac:dyDescent="0.3">
      <c r="A766" t="s">
        <v>1026</v>
      </c>
      <c r="B766" t="s">
        <v>1027</v>
      </c>
      <c r="C766">
        <f t="shared" si="11"/>
        <v>45839</v>
      </c>
      <c r="D766">
        <v>6200</v>
      </c>
      <c r="E766" t="str">
        <f>INDEX(Accounts!$B$2:$B$9,MATCH(D766,Accounts!$A$2:$A$9,0))</f>
        <v>Rent &amp; Utilities</v>
      </c>
      <c r="F766" t="str">
        <f>INDEX(Accounts!$C$2:$C$9,MATCH(D766,Accounts!$A$2:$A$9,0))</f>
        <v>Operating Expense</v>
      </c>
      <c r="G766" t="s">
        <v>43</v>
      </c>
      <c r="H766" t="s">
        <v>46</v>
      </c>
      <c r="I766">
        <v>14675</v>
      </c>
    </row>
    <row r="767" spans="1:9" x14ac:dyDescent="0.3">
      <c r="A767" t="s">
        <v>1028</v>
      </c>
      <c r="B767" t="s">
        <v>1027</v>
      </c>
      <c r="C767">
        <f t="shared" si="11"/>
        <v>45839</v>
      </c>
      <c r="D767">
        <v>5000</v>
      </c>
      <c r="E767" t="str">
        <f>INDEX(Accounts!$B$2:$B$9,MATCH(D767,Accounts!$A$2:$A$9,0))</f>
        <v>Cost of Goods Sold</v>
      </c>
      <c r="F767" t="str">
        <f>INDEX(Accounts!$C$2:$C$9,MATCH(D767,Accounts!$A$2:$A$9,0))</f>
        <v>COGS</v>
      </c>
      <c r="G767" t="s">
        <v>47</v>
      </c>
      <c r="H767" t="s">
        <v>44</v>
      </c>
      <c r="I767">
        <v>58693</v>
      </c>
    </row>
    <row r="768" spans="1:9" x14ac:dyDescent="0.3">
      <c r="A768" t="s">
        <v>1029</v>
      </c>
      <c r="B768" t="s">
        <v>1027</v>
      </c>
      <c r="C768">
        <f t="shared" si="11"/>
        <v>45839</v>
      </c>
      <c r="D768">
        <v>4000</v>
      </c>
      <c r="E768" t="str">
        <f>INDEX(Accounts!$B$2:$B$9,MATCH(D768,Accounts!$A$2:$A$9,0))</f>
        <v>Product Sales</v>
      </c>
      <c r="F768" t="str">
        <f>INDEX(Accounts!$C$2:$C$9,MATCH(D768,Accounts!$A$2:$A$9,0))</f>
        <v>Revenue</v>
      </c>
      <c r="G768" t="s">
        <v>48</v>
      </c>
      <c r="H768" t="s">
        <v>46</v>
      </c>
      <c r="I768">
        <v>98354</v>
      </c>
    </row>
    <row r="769" spans="1:9" x14ac:dyDescent="0.3">
      <c r="A769" t="s">
        <v>1030</v>
      </c>
      <c r="B769" t="s">
        <v>1027</v>
      </c>
      <c r="C769">
        <f t="shared" si="11"/>
        <v>45839</v>
      </c>
      <c r="D769">
        <v>6100</v>
      </c>
      <c r="E769" t="str">
        <f>INDEX(Accounts!$B$2:$B$9,MATCH(D769,Accounts!$A$2:$A$9,0))</f>
        <v>Marketing Expense</v>
      </c>
      <c r="F769" t="str">
        <f>INDEX(Accounts!$C$2:$C$9,MATCH(D769,Accounts!$A$2:$A$9,0))</f>
        <v>Operating Expense</v>
      </c>
      <c r="G769" t="s">
        <v>43</v>
      </c>
      <c r="H769" t="s">
        <v>44</v>
      </c>
      <c r="I769">
        <v>6341</v>
      </c>
    </row>
    <row r="770" spans="1:9" x14ac:dyDescent="0.3">
      <c r="A770" t="s">
        <v>1031</v>
      </c>
      <c r="B770" t="s">
        <v>1027</v>
      </c>
      <c r="C770">
        <f t="shared" ref="C770:C833" si="12">DATE(YEAR(B770),MONTH(B770),1)</f>
        <v>45839</v>
      </c>
      <c r="D770">
        <v>5000</v>
      </c>
      <c r="E770" t="str">
        <f>INDEX(Accounts!$B$2:$B$9,MATCH(D770,Accounts!$A$2:$A$9,0))</f>
        <v>Cost of Goods Sold</v>
      </c>
      <c r="F770" t="str">
        <f>INDEX(Accounts!$C$2:$C$9,MATCH(D770,Accounts!$A$2:$A$9,0))</f>
        <v>COGS</v>
      </c>
      <c r="G770" t="s">
        <v>41</v>
      </c>
      <c r="H770" t="s">
        <v>46</v>
      </c>
      <c r="I770">
        <v>36387</v>
      </c>
    </row>
    <row r="771" spans="1:9" x14ac:dyDescent="0.3">
      <c r="A771" t="s">
        <v>1032</v>
      </c>
      <c r="B771" t="s">
        <v>1027</v>
      </c>
      <c r="C771">
        <f t="shared" si="12"/>
        <v>45839</v>
      </c>
      <c r="D771">
        <v>6100</v>
      </c>
      <c r="E771" t="str">
        <f>INDEX(Accounts!$B$2:$B$9,MATCH(D771,Accounts!$A$2:$A$9,0))</f>
        <v>Marketing Expense</v>
      </c>
      <c r="F771" t="str">
        <f>INDEX(Accounts!$C$2:$C$9,MATCH(D771,Accounts!$A$2:$A$9,0))</f>
        <v>Operating Expense</v>
      </c>
      <c r="G771" t="s">
        <v>43</v>
      </c>
      <c r="H771" t="s">
        <v>46</v>
      </c>
      <c r="I771">
        <v>2530</v>
      </c>
    </row>
    <row r="772" spans="1:9" x14ac:dyDescent="0.3">
      <c r="A772" t="s">
        <v>1033</v>
      </c>
      <c r="B772" t="s">
        <v>1034</v>
      </c>
      <c r="C772">
        <f t="shared" si="12"/>
        <v>45870</v>
      </c>
      <c r="D772">
        <v>5000</v>
      </c>
      <c r="E772" t="str">
        <f>INDEX(Accounts!$B$2:$B$9,MATCH(D772,Accounts!$A$2:$A$9,0))</f>
        <v>Cost of Goods Sold</v>
      </c>
      <c r="F772" t="str">
        <f>INDEX(Accounts!$C$2:$C$9,MATCH(D772,Accounts!$A$2:$A$9,0))</f>
        <v>COGS</v>
      </c>
      <c r="G772" t="s">
        <v>41</v>
      </c>
      <c r="H772" t="s">
        <v>46</v>
      </c>
      <c r="I772">
        <v>48965</v>
      </c>
    </row>
    <row r="773" spans="1:9" x14ac:dyDescent="0.3">
      <c r="A773" t="s">
        <v>1035</v>
      </c>
      <c r="B773" t="s">
        <v>1034</v>
      </c>
      <c r="C773">
        <f t="shared" si="12"/>
        <v>45870</v>
      </c>
      <c r="D773">
        <v>5000</v>
      </c>
      <c r="E773" t="str">
        <f>INDEX(Accounts!$B$2:$B$9,MATCH(D773,Accounts!$A$2:$A$9,0))</f>
        <v>Cost of Goods Sold</v>
      </c>
      <c r="F773" t="str">
        <f>INDEX(Accounts!$C$2:$C$9,MATCH(D773,Accounts!$A$2:$A$9,0))</f>
        <v>COGS</v>
      </c>
      <c r="G773" t="s">
        <v>41</v>
      </c>
      <c r="H773" t="s">
        <v>42</v>
      </c>
      <c r="I773">
        <v>45767</v>
      </c>
    </row>
    <row r="774" spans="1:9" x14ac:dyDescent="0.3">
      <c r="A774" t="s">
        <v>1036</v>
      </c>
      <c r="B774" t="s">
        <v>1034</v>
      </c>
      <c r="C774">
        <f t="shared" si="12"/>
        <v>45870</v>
      </c>
      <c r="D774">
        <v>6000</v>
      </c>
      <c r="E774" t="str">
        <f>INDEX(Accounts!$B$2:$B$9,MATCH(D774,Accounts!$A$2:$A$9,0))</f>
        <v>Salaries &amp; Wages</v>
      </c>
      <c r="F774" t="str">
        <f>INDEX(Accounts!$C$2:$C$9,MATCH(D774,Accounts!$A$2:$A$9,0))</f>
        <v>Operating Expense</v>
      </c>
      <c r="G774" t="s">
        <v>45</v>
      </c>
      <c r="H774" t="s">
        <v>42</v>
      </c>
      <c r="I774">
        <v>12414</v>
      </c>
    </row>
    <row r="775" spans="1:9" x14ac:dyDescent="0.3">
      <c r="A775" t="s">
        <v>1037</v>
      </c>
      <c r="B775" t="s">
        <v>1038</v>
      </c>
      <c r="C775">
        <f t="shared" si="12"/>
        <v>45870</v>
      </c>
      <c r="D775">
        <v>4000</v>
      </c>
      <c r="E775" t="str">
        <f>INDEX(Accounts!$B$2:$B$9,MATCH(D775,Accounts!$A$2:$A$9,0))</f>
        <v>Product Sales</v>
      </c>
      <c r="F775" t="str">
        <f>INDEX(Accounts!$C$2:$C$9,MATCH(D775,Accounts!$A$2:$A$9,0))</f>
        <v>Revenue</v>
      </c>
      <c r="G775" t="s">
        <v>41</v>
      </c>
      <c r="H775" t="s">
        <v>42</v>
      </c>
      <c r="I775">
        <v>132290</v>
      </c>
    </row>
    <row r="776" spans="1:9" x14ac:dyDescent="0.3">
      <c r="A776" t="s">
        <v>1039</v>
      </c>
      <c r="B776" t="s">
        <v>1038</v>
      </c>
      <c r="C776">
        <f t="shared" si="12"/>
        <v>45870</v>
      </c>
      <c r="D776">
        <v>5000</v>
      </c>
      <c r="E776" t="str">
        <f>INDEX(Accounts!$B$2:$B$9,MATCH(D776,Accounts!$A$2:$A$9,0))</f>
        <v>Cost of Goods Sold</v>
      </c>
      <c r="F776" t="str">
        <f>INDEX(Accounts!$C$2:$C$9,MATCH(D776,Accounts!$A$2:$A$9,0))</f>
        <v>COGS</v>
      </c>
      <c r="G776" t="s">
        <v>48</v>
      </c>
      <c r="H776" t="s">
        <v>44</v>
      </c>
      <c r="I776">
        <v>21232</v>
      </c>
    </row>
    <row r="777" spans="1:9" x14ac:dyDescent="0.3">
      <c r="A777" t="s">
        <v>1040</v>
      </c>
      <c r="B777" t="s">
        <v>1038</v>
      </c>
      <c r="C777">
        <f t="shared" si="12"/>
        <v>45870</v>
      </c>
      <c r="D777">
        <v>4000</v>
      </c>
      <c r="E777" t="str">
        <f>INDEX(Accounts!$B$2:$B$9,MATCH(D777,Accounts!$A$2:$A$9,0))</f>
        <v>Product Sales</v>
      </c>
      <c r="F777" t="str">
        <f>INDEX(Accounts!$C$2:$C$9,MATCH(D777,Accounts!$A$2:$A$9,0))</f>
        <v>Revenue</v>
      </c>
      <c r="G777" t="s">
        <v>43</v>
      </c>
      <c r="H777" t="s">
        <v>44</v>
      </c>
      <c r="I777">
        <v>77195</v>
      </c>
    </row>
    <row r="778" spans="1:9" x14ac:dyDescent="0.3">
      <c r="A778" t="s">
        <v>1041</v>
      </c>
      <c r="B778" t="s">
        <v>1038</v>
      </c>
      <c r="C778">
        <f t="shared" si="12"/>
        <v>45870</v>
      </c>
      <c r="D778">
        <v>6300</v>
      </c>
      <c r="E778" t="str">
        <f>INDEX(Accounts!$B$2:$B$9,MATCH(D778,Accounts!$A$2:$A$9,0))</f>
        <v>Logistics Expense</v>
      </c>
      <c r="F778" t="str">
        <f>INDEX(Accounts!$C$2:$C$9,MATCH(D778,Accounts!$A$2:$A$9,0))</f>
        <v>Operating Expense</v>
      </c>
      <c r="G778" t="s">
        <v>41</v>
      </c>
      <c r="H778" t="s">
        <v>42</v>
      </c>
      <c r="I778">
        <v>7114</v>
      </c>
    </row>
    <row r="779" spans="1:9" x14ac:dyDescent="0.3">
      <c r="A779" t="s">
        <v>1042</v>
      </c>
      <c r="B779" t="s">
        <v>1038</v>
      </c>
      <c r="C779">
        <f t="shared" si="12"/>
        <v>45870</v>
      </c>
      <c r="D779">
        <v>6000</v>
      </c>
      <c r="E779" t="str">
        <f>INDEX(Accounts!$B$2:$B$9,MATCH(D779,Accounts!$A$2:$A$9,0))</f>
        <v>Salaries &amp; Wages</v>
      </c>
      <c r="F779" t="str">
        <f>INDEX(Accounts!$C$2:$C$9,MATCH(D779,Accounts!$A$2:$A$9,0))</f>
        <v>Operating Expense</v>
      </c>
      <c r="G779" t="s">
        <v>43</v>
      </c>
      <c r="H779" t="s">
        <v>44</v>
      </c>
      <c r="I779">
        <v>9049</v>
      </c>
    </row>
    <row r="780" spans="1:9" x14ac:dyDescent="0.3">
      <c r="A780" t="s">
        <v>1043</v>
      </c>
      <c r="B780" t="s">
        <v>1044</v>
      </c>
      <c r="C780">
        <f t="shared" si="12"/>
        <v>45870</v>
      </c>
      <c r="D780">
        <v>5000</v>
      </c>
      <c r="E780" t="str">
        <f>INDEX(Accounts!$B$2:$B$9,MATCH(D780,Accounts!$A$2:$A$9,0))</f>
        <v>Cost of Goods Sold</v>
      </c>
      <c r="F780" t="str">
        <f>INDEX(Accounts!$C$2:$C$9,MATCH(D780,Accounts!$A$2:$A$9,0))</f>
        <v>COGS</v>
      </c>
      <c r="G780" t="s">
        <v>47</v>
      </c>
      <c r="H780" t="s">
        <v>42</v>
      </c>
      <c r="I780">
        <v>55971</v>
      </c>
    </row>
    <row r="781" spans="1:9" x14ac:dyDescent="0.3">
      <c r="A781" t="s">
        <v>1045</v>
      </c>
      <c r="B781" t="s">
        <v>1044</v>
      </c>
      <c r="C781">
        <f t="shared" si="12"/>
        <v>45870</v>
      </c>
      <c r="D781">
        <v>6000</v>
      </c>
      <c r="E781" t="str">
        <f>INDEX(Accounts!$B$2:$B$9,MATCH(D781,Accounts!$A$2:$A$9,0))</f>
        <v>Salaries &amp; Wages</v>
      </c>
      <c r="F781" t="str">
        <f>INDEX(Accounts!$C$2:$C$9,MATCH(D781,Accounts!$A$2:$A$9,0))</f>
        <v>Operating Expense</v>
      </c>
      <c r="G781" t="s">
        <v>47</v>
      </c>
      <c r="H781" t="s">
        <v>42</v>
      </c>
      <c r="I781">
        <v>16073</v>
      </c>
    </row>
    <row r="782" spans="1:9" x14ac:dyDescent="0.3">
      <c r="A782" t="s">
        <v>1046</v>
      </c>
      <c r="B782" t="s">
        <v>1044</v>
      </c>
      <c r="C782">
        <f t="shared" si="12"/>
        <v>45870</v>
      </c>
      <c r="D782">
        <v>6000</v>
      </c>
      <c r="E782" t="str">
        <f>INDEX(Accounts!$B$2:$B$9,MATCH(D782,Accounts!$A$2:$A$9,0))</f>
        <v>Salaries &amp; Wages</v>
      </c>
      <c r="F782" t="str">
        <f>INDEX(Accounts!$C$2:$C$9,MATCH(D782,Accounts!$A$2:$A$9,0))</f>
        <v>Operating Expense</v>
      </c>
      <c r="G782" t="s">
        <v>43</v>
      </c>
      <c r="H782" t="s">
        <v>44</v>
      </c>
      <c r="I782">
        <v>34015</v>
      </c>
    </row>
    <row r="783" spans="1:9" x14ac:dyDescent="0.3">
      <c r="A783" t="s">
        <v>1047</v>
      </c>
      <c r="B783" t="s">
        <v>1044</v>
      </c>
      <c r="C783">
        <f t="shared" si="12"/>
        <v>45870</v>
      </c>
      <c r="D783">
        <v>4100</v>
      </c>
      <c r="E783" t="str">
        <f>INDEX(Accounts!$B$2:$B$9,MATCH(D783,Accounts!$A$2:$A$9,0))</f>
        <v>Sales Returns &amp; Discounts</v>
      </c>
      <c r="F783" t="str">
        <f>INDEX(Accounts!$C$2:$C$9,MATCH(D783,Accounts!$A$2:$A$9,0))</f>
        <v>Contra Revenue</v>
      </c>
      <c r="G783" t="s">
        <v>43</v>
      </c>
      <c r="H783" t="s">
        <v>42</v>
      </c>
      <c r="I783">
        <v>9589</v>
      </c>
    </row>
    <row r="784" spans="1:9" x14ac:dyDescent="0.3">
      <c r="A784" t="s">
        <v>1048</v>
      </c>
      <c r="B784" t="s">
        <v>1044</v>
      </c>
      <c r="C784">
        <f t="shared" si="12"/>
        <v>45870</v>
      </c>
      <c r="D784">
        <v>4000</v>
      </c>
      <c r="E784" t="str">
        <f>INDEX(Accounts!$B$2:$B$9,MATCH(D784,Accounts!$A$2:$A$9,0))</f>
        <v>Product Sales</v>
      </c>
      <c r="F784" t="str">
        <f>INDEX(Accounts!$C$2:$C$9,MATCH(D784,Accounts!$A$2:$A$9,0))</f>
        <v>Revenue</v>
      </c>
      <c r="G784" t="s">
        <v>41</v>
      </c>
      <c r="H784" t="s">
        <v>44</v>
      </c>
      <c r="I784">
        <v>135224</v>
      </c>
    </row>
    <row r="785" spans="1:9" x14ac:dyDescent="0.3">
      <c r="A785" t="s">
        <v>1049</v>
      </c>
      <c r="B785" t="s">
        <v>1050</v>
      </c>
      <c r="C785">
        <f t="shared" si="12"/>
        <v>45870</v>
      </c>
      <c r="D785">
        <v>5000</v>
      </c>
      <c r="E785" t="str">
        <f>INDEX(Accounts!$B$2:$B$9,MATCH(D785,Accounts!$A$2:$A$9,0))</f>
        <v>Cost of Goods Sold</v>
      </c>
      <c r="F785" t="str">
        <f>INDEX(Accounts!$C$2:$C$9,MATCH(D785,Accounts!$A$2:$A$9,0))</f>
        <v>COGS</v>
      </c>
      <c r="G785" t="s">
        <v>43</v>
      </c>
      <c r="H785" t="s">
        <v>44</v>
      </c>
      <c r="I785">
        <v>49982</v>
      </c>
    </row>
    <row r="786" spans="1:9" x14ac:dyDescent="0.3">
      <c r="A786" t="s">
        <v>1051</v>
      </c>
      <c r="B786" t="s">
        <v>1050</v>
      </c>
      <c r="C786">
        <f t="shared" si="12"/>
        <v>45870</v>
      </c>
      <c r="D786">
        <v>6300</v>
      </c>
      <c r="E786" t="str">
        <f>INDEX(Accounts!$B$2:$B$9,MATCH(D786,Accounts!$A$2:$A$9,0))</f>
        <v>Logistics Expense</v>
      </c>
      <c r="F786" t="str">
        <f>INDEX(Accounts!$C$2:$C$9,MATCH(D786,Accounts!$A$2:$A$9,0))</f>
        <v>Operating Expense</v>
      </c>
      <c r="G786" t="s">
        <v>43</v>
      </c>
      <c r="H786" t="s">
        <v>44</v>
      </c>
      <c r="I786">
        <v>8268</v>
      </c>
    </row>
    <row r="787" spans="1:9" x14ac:dyDescent="0.3">
      <c r="A787" t="s">
        <v>1052</v>
      </c>
      <c r="B787" t="s">
        <v>1050</v>
      </c>
      <c r="C787">
        <f t="shared" si="12"/>
        <v>45870</v>
      </c>
      <c r="D787">
        <v>5000</v>
      </c>
      <c r="E787" t="str">
        <f>INDEX(Accounts!$B$2:$B$9,MATCH(D787,Accounts!$A$2:$A$9,0))</f>
        <v>Cost of Goods Sold</v>
      </c>
      <c r="F787" t="str">
        <f>INDEX(Accounts!$C$2:$C$9,MATCH(D787,Accounts!$A$2:$A$9,0))</f>
        <v>COGS</v>
      </c>
      <c r="G787" t="s">
        <v>45</v>
      </c>
      <c r="H787" t="s">
        <v>42</v>
      </c>
      <c r="I787">
        <v>32588</v>
      </c>
    </row>
    <row r="788" spans="1:9" x14ac:dyDescent="0.3">
      <c r="A788" t="s">
        <v>1053</v>
      </c>
      <c r="B788" t="s">
        <v>1054</v>
      </c>
      <c r="C788">
        <f t="shared" si="12"/>
        <v>45870</v>
      </c>
      <c r="D788">
        <v>6100</v>
      </c>
      <c r="E788" t="str">
        <f>INDEX(Accounts!$B$2:$B$9,MATCH(D788,Accounts!$A$2:$A$9,0))</f>
        <v>Marketing Expense</v>
      </c>
      <c r="F788" t="str">
        <f>INDEX(Accounts!$C$2:$C$9,MATCH(D788,Accounts!$A$2:$A$9,0))</f>
        <v>Operating Expense</v>
      </c>
      <c r="G788" t="s">
        <v>45</v>
      </c>
      <c r="H788" t="s">
        <v>42</v>
      </c>
      <c r="I788">
        <v>12946</v>
      </c>
    </row>
    <row r="789" spans="1:9" x14ac:dyDescent="0.3">
      <c r="A789" t="s">
        <v>1055</v>
      </c>
      <c r="B789" t="s">
        <v>1054</v>
      </c>
      <c r="C789">
        <f t="shared" si="12"/>
        <v>45870</v>
      </c>
      <c r="D789">
        <v>6000</v>
      </c>
      <c r="E789" t="str">
        <f>INDEX(Accounts!$B$2:$B$9,MATCH(D789,Accounts!$A$2:$A$9,0))</f>
        <v>Salaries &amp; Wages</v>
      </c>
      <c r="F789" t="str">
        <f>INDEX(Accounts!$C$2:$C$9,MATCH(D789,Accounts!$A$2:$A$9,0))</f>
        <v>Operating Expense</v>
      </c>
      <c r="G789" t="s">
        <v>43</v>
      </c>
      <c r="H789" t="s">
        <v>42</v>
      </c>
      <c r="I789">
        <v>8461</v>
      </c>
    </row>
    <row r="790" spans="1:9" x14ac:dyDescent="0.3">
      <c r="A790" t="s">
        <v>1056</v>
      </c>
      <c r="B790" t="s">
        <v>1054</v>
      </c>
      <c r="C790">
        <f t="shared" si="12"/>
        <v>45870</v>
      </c>
      <c r="D790">
        <v>6000</v>
      </c>
      <c r="E790" t="str">
        <f>INDEX(Accounts!$B$2:$B$9,MATCH(D790,Accounts!$A$2:$A$9,0))</f>
        <v>Salaries &amp; Wages</v>
      </c>
      <c r="F790" t="str">
        <f>INDEX(Accounts!$C$2:$C$9,MATCH(D790,Accounts!$A$2:$A$9,0))</f>
        <v>Operating Expense</v>
      </c>
      <c r="G790" t="s">
        <v>45</v>
      </c>
      <c r="H790" t="s">
        <v>44</v>
      </c>
      <c r="I790">
        <v>6270</v>
      </c>
    </row>
    <row r="791" spans="1:9" x14ac:dyDescent="0.3">
      <c r="A791" t="s">
        <v>1057</v>
      </c>
      <c r="B791" t="s">
        <v>1054</v>
      </c>
      <c r="C791">
        <f t="shared" si="12"/>
        <v>45870</v>
      </c>
      <c r="D791">
        <v>4000</v>
      </c>
      <c r="E791" t="str">
        <f>INDEX(Accounts!$B$2:$B$9,MATCH(D791,Accounts!$A$2:$A$9,0))</f>
        <v>Product Sales</v>
      </c>
      <c r="F791" t="str">
        <f>INDEX(Accounts!$C$2:$C$9,MATCH(D791,Accounts!$A$2:$A$9,0))</f>
        <v>Revenue</v>
      </c>
      <c r="G791" t="s">
        <v>41</v>
      </c>
      <c r="H791" t="s">
        <v>46</v>
      </c>
      <c r="I791">
        <v>69298</v>
      </c>
    </row>
    <row r="792" spans="1:9" x14ac:dyDescent="0.3">
      <c r="A792" t="s">
        <v>1058</v>
      </c>
      <c r="B792" t="s">
        <v>1059</v>
      </c>
      <c r="C792">
        <f t="shared" si="12"/>
        <v>45870</v>
      </c>
      <c r="D792">
        <v>6300</v>
      </c>
      <c r="E792" t="str">
        <f>INDEX(Accounts!$B$2:$B$9,MATCH(D792,Accounts!$A$2:$A$9,0))</f>
        <v>Logistics Expense</v>
      </c>
      <c r="F792" t="str">
        <f>INDEX(Accounts!$C$2:$C$9,MATCH(D792,Accounts!$A$2:$A$9,0))</f>
        <v>Operating Expense</v>
      </c>
      <c r="G792" t="s">
        <v>45</v>
      </c>
      <c r="H792" t="s">
        <v>42</v>
      </c>
      <c r="I792">
        <v>5126</v>
      </c>
    </row>
    <row r="793" spans="1:9" x14ac:dyDescent="0.3">
      <c r="A793" t="s">
        <v>1060</v>
      </c>
      <c r="B793" t="s">
        <v>1061</v>
      </c>
      <c r="C793">
        <f t="shared" si="12"/>
        <v>45870</v>
      </c>
      <c r="D793">
        <v>6300</v>
      </c>
      <c r="E793" t="str">
        <f>INDEX(Accounts!$B$2:$B$9,MATCH(D793,Accounts!$A$2:$A$9,0))</f>
        <v>Logistics Expense</v>
      </c>
      <c r="F793" t="str">
        <f>INDEX(Accounts!$C$2:$C$9,MATCH(D793,Accounts!$A$2:$A$9,0))</f>
        <v>Operating Expense</v>
      </c>
      <c r="G793" t="s">
        <v>43</v>
      </c>
      <c r="H793" t="s">
        <v>44</v>
      </c>
      <c r="I793">
        <v>13943</v>
      </c>
    </row>
    <row r="794" spans="1:9" x14ac:dyDescent="0.3">
      <c r="A794" t="s">
        <v>1062</v>
      </c>
      <c r="B794" t="s">
        <v>1061</v>
      </c>
      <c r="C794">
        <f t="shared" si="12"/>
        <v>45870</v>
      </c>
      <c r="D794">
        <v>5000</v>
      </c>
      <c r="E794" t="str">
        <f>INDEX(Accounts!$B$2:$B$9,MATCH(D794,Accounts!$A$2:$A$9,0))</f>
        <v>Cost of Goods Sold</v>
      </c>
      <c r="F794" t="str">
        <f>INDEX(Accounts!$C$2:$C$9,MATCH(D794,Accounts!$A$2:$A$9,0))</f>
        <v>COGS</v>
      </c>
      <c r="G794" t="s">
        <v>45</v>
      </c>
      <c r="H794" t="s">
        <v>46</v>
      </c>
      <c r="I794">
        <v>34027</v>
      </c>
    </row>
    <row r="795" spans="1:9" x14ac:dyDescent="0.3">
      <c r="A795" t="s">
        <v>1063</v>
      </c>
      <c r="B795" t="s">
        <v>1061</v>
      </c>
      <c r="C795">
        <f t="shared" si="12"/>
        <v>45870</v>
      </c>
      <c r="D795">
        <v>6000</v>
      </c>
      <c r="E795" t="str">
        <f>INDEX(Accounts!$B$2:$B$9,MATCH(D795,Accounts!$A$2:$A$9,0))</f>
        <v>Salaries &amp; Wages</v>
      </c>
      <c r="F795" t="str">
        <f>INDEX(Accounts!$C$2:$C$9,MATCH(D795,Accounts!$A$2:$A$9,0))</f>
        <v>Operating Expense</v>
      </c>
      <c r="G795" t="s">
        <v>45</v>
      </c>
      <c r="H795" t="s">
        <v>46</v>
      </c>
      <c r="I795">
        <v>11608</v>
      </c>
    </row>
    <row r="796" spans="1:9" x14ac:dyDescent="0.3">
      <c r="A796" t="s">
        <v>1064</v>
      </c>
      <c r="B796" t="s">
        <v>1065</v>
      </c>
      <c r="C796">
        <f t="shared" si="12"/>
        <v>45870</v>
      </c>
      <c r="D796">
        <v>4000</v>
      </c>
      <c r="E796" t="str">
        <f>INDEX(Accounts!$B$2:$B$9,MATCH(D796,Accounts!$A$2:$A$9,0))</f>
        <v>Product Sales</v>
      </c>
      <c r="F796" t="str">
        <f>INDEX(Accounts!$C$2:$C$9,MATCH(D796,Accounts!$A$2:$A$9,0))</f>
        <v>Revenue</v>
      </c>
      <c r="G796" t="s">
        <v>47</v>
      </c>
      <c r="H796" t="s">
        <v>44</v>
      </c>
      <c r="I796">
        <v>97188</v>
      </c>
    </row>
    <row r="797" spans="1:9" x14ac:dyDescent="0.3">
      <c r="A797" t="s">
        <v>1066</v>
      </c>
      <c r="B797" t="s">
        <v>1065</v>
      </c>
      <c r="C797">
        <f t="shared" si="12"/>
        <v>45870</v>
      </c>
      <c r="D797">
        <v>4000</v>
      </c>
      <c r="E797" t="str">
        <f>INDEX(Accounts!$B$2:$B$9,MATCH(D797,Accounts!$A$2:$A$9,0))</f>
        <v>Product Sales</v>
      </c>
      <c r="F797" t="str">
        <f>INDEX(Accounts!$C$2:$C$9,MATCH(D797,Accounts!$A$2:$A$9,0))</f>
        <v>Revenue</v>
      </c>
      <c r="G797" t="s">
        <v>45</v>
      </c>
      <c r="H797" t="s">
        <v>42</v>
      </c>
      <c r="I797">
        <v>175510</v>
      </c>
    </row>
    <row r="798" spans="1:9" x14ac:dyDescent="0.3">
      <c r="A798" t="s">
        <v>1067</v>
      </c>
      <c r="B798" t="s">
        <v>1068</v>
      </c>
      <c r="C798">
        <f t="shared" si="12"/>
        <v>45870</v>
      </c>
      <c r="D798">
        <v>5000</v>
      </c>
      <c r="E798" t="str">
        <f>INDEX(Accounts!$B$2:$B$9,MATCH(D798,Accounts!$A$2:$A$9,0))</f>
        <v>Cost of Goods Sold</v>
      </c>
      <c r="F798" t="str">
        <f>INDEX(Accounts!$C$2:$C$9,MATCH(D798,Accounts!$A$2:$A$9,0))</f>
        <v>COGS</v>
      </c>
      <c r="G798" t="s">
        <v>43</v>
      </c>
      <c r="H798" t="s">
        <v>44</v>
      </c>
      <c r="I798">
        <v>49642</v>
      </c>
    </row>
    <row r="799" spans="1:9" x14ac:dyDescent="0.3">
      <c r="A799" t="s">
        <v>1069</v>
      </c>
      <c r="B799" t="s">
        <v>1070</v>
      </c>
      <c r="C799">
        <f t="shared" si="12"/>
        <v>45870</v>
      </c>
      <c r="D799">
        <v>6400</v>
      </c>
      <c r="E799" t="str">
        <f>INDEX(Accounts!$B$2:$B$9,MATCH(D799,Accounts!$A$2:$A$9,0))</f>
        <v>Software &amp; Admin</v>
      </c>
      <c r="F799" t="str">
        <f>INDEX(Accounts!$C$2:$C$9,MATCH(D799,Accounts!$A$2:$A$9,0))</f>
        <v>Operating Expense</v>
      </c>
      <c r="G799" t="s">
        <v>43</v>
      </c>
      <c r="H799" t="s">
        <v>44</v>
      </c>
      <c r="I799">
        <v>5414</v>
      </c>
    </row>
    <row r="800" spans="1:9" x14ac:dyDescent="0.3">
      <c r="A800" t="s">
        <v>1071</v>
      </c>
      <c r="B800" t="s">
        <v>1070</v>
      </c>
      <c r="C800">
        <f t="shared" si="12"/>
        <v>45870</v>
      </c>
      <c r="D800">
        <v>4000</v>
      </c>
      <c r="E800" t="str">
        <f>INDEX(Accounts!$B$2:$B$9,MATCH(D800,Accounts!$A$2:$A$9,0))</f>
        <v>Product Sales</v>
      </c>
      <c r="F800" t="str">
        <f>INDEX(Accounts!$C$2:$C$9,MATCH(D800,Accounts!$A$2:$A$9,0))</f>
        <v>Revenue</v>
      </c>
      <c r="G800" t="s">
        <v>43</v>
      </c>
      <c r="H800" t="s">
        <v>42</v>
      </c>
      <c r="I800">
        <v>39883</v>
      </c>
    </row>
    <row r="801" spans="1:9" x14ac:dyDescent="0.3">
      <c r="A801" t="s">
        <v>1072</v>
      </c>
      <c r="B801" t="s">
        <v>1070</v>
      </c>
      <c r="C801">
        <f t="shared" si="12"/>
        <v>45870</v>
      </c>
      <c r="D801">
        <v>4000</v>
      </c>
      <c r="E801" t="str">
        <f>INDEX(Accounts!$B$2:$B$9,MATCH(D801,Accounts!$A$2:$A$9,0))</f>
        <v>Product Sales</v>
      </c>
      <c r="F801" t="str">
        <f>INDEX(Accounts!$C$2:$C$9,MATCH(D801,Accounts!$A$2:$A$9,0))</f>
        <v>Revenue</v>
      </c>
      <c r="G801" t="s">
        <v>43</v>
      </c>
      <c r="H801" t="s">
        <v>44</v>
      </c>
      <c r="I801">
        <v>34258</v>
      </c>
    </row>
    <row r="802" spans="1:9" x14ac:dyDescent="0.3">
      <c r="A802" t="s">
        <v>1073</v>
      </c>
      <c r="B802" t="s">
        <v>1070</v>
      </c>
      <c r="C802">
        <f t="shared" si="12"/>
        <v>45870</v>
      </c>
      <c r="D802">
        <v>4000</v>
      </c>
      <c r="E802" t="str">
        <f>INDEX(Accounts!$B$2:$B$9,MATCH(D802,Accounts!$A$2:$A$9,0))</f>
        <v>Product Sales</v>
      </c>
      <c r="F802" t="str">
        <f>INDEX(Accounts!$C$2:$C$9,MATCH(D802,Accounts!$A$2:$A$9,0))</f>
        <v>Revenue</v>
      </c>
      <c r="G802" t="s">
        <v>41</v>
      </c>
      <c r="H802" t="s">
        <v>44</v>
      </c>
      <c r="I802">
        <v>171546</v>
      </c>
    </row>
    <row r="803" spans="1:9" x14ac:dyDescent="0.3">
      <c r="A803" t="s">
        <v>1074</v>
      </c>
      <c r="B803" t="s">
        <v>1070</v>
      </c>
      <c r="C803">
        <f t="shared" si="12"/>
        <v>45870</v>
      </c>
      <c r="D803">
        <v>5000</v>
      </c>
      <c r="E803" t="str">
        <f>INDEX(Accounts!$B$2:$B$9,MATCH(D803,Accounts!$A$2:$A$9,0))</f>
        <v>Cost of Goods Sold</v>
      </c>
      <c r="F803" t="str">
        <f>INDEX(Accounts!$C$2:$C$9,MATCH(D803,Accounts!$A$2:$A$9,0))</f>
        <v>COGS</v>
      </c>
      <c r="G803" t="s">
        <v>41</v>
      </c>
      <c r="H803" t="s">
        <v>46</v>
      </c>
      <c r="I803">
        <v>25693</v>
      </c>
    </row>
    <row r="804" spans="1:9" x14ac:dyDescent="0.3">
      <c r="A804" t="s">
        <v>1075</v>
      </c>
      <c r="B804" t="s">
        <v>1076</v>
      </c>
      <c r="C804">
        <f t="shared" si="12"/>
        <v>45870</v>
      </c>
      <c r="D804">
        <v>6200</v>
      </c>
      <c r="E804" t="str">
        <f>INDEX(Accounts!$B$2:$B$9,MATCH(D804,Accounts!$A$2:$A$9,0))</f>
        <v>Rent &amp; Utilities</v>
      </c>
      <c r="F804" t="str">
        <f>INDEX(Accounts!$C$2:$C$9,MATCH(D804,Accounts!$A$2:$A$9,0))</f>
        <v>Operating Expense</v>
      </c>
      <c r="G804" t="s">
        <v>41</v>
      </c>
      <c r="H804" t="s">
        <v>44</v>
      </c>
      <c r="I804">
        <v>11054</v>
      </c>
    </row>
    <row r="805" spans="1:9" x14ac:dyDescent="0.3">
      <c r="A805" t="s">
        <v>1077</v>
      </c>
      <c r="B805" t="s">
        <v>1076</v>
      </c>
      <c r="C805">
        <f t="shared" si="12"/>
        <v>45870</v>
      </c>
      <c r="D805">
        <v>6300</v>
      </c>
      <c r="E805" t="str">
        <f>INDEX(Accounts!$B$2:$B$9,MATCH(D805,Accounts!$A$2:$A$9,0))</f>
        <v>Logistics Expense</v>
      </c>
      <c r="F805" t="str">
        <f>INDEX(Accounts!$C$2:$C$9,MATCH(D805,Accounts!$A$2:$A$9,0))</f>
        <v>Operating Expense</v>
      </c>
      <c r="G805" t="s">
        <v>41</v>
      </c>
      <c r="H805" t="s">
        <v>46</v>
      </c>
      <c r="I805">
        <v>12173</v>
      </c>
    </row>
    <row r="806" spans="1:9" x14ac:dyDescent="0.3">
      <c r="A806" t="s">
        <v>1078</v>
      </c>
      <c r="B806" t="s">
        <v>1076</v>
      </c>
      <c r="C806">
        <f t="shared" si="12"/>
        <v>45870</v>
      </c>
      <c r="D806">
        <v>6000</v>
      </c>
      <c r="E806" t="str">
        <f>INDEX(Accounts!$B$2:$B$9,MATCH(D806,Accounts!$A$2:$A$9,0))</f>
        <v>Salaries &amp; Wages</v>
      </c>
      <c r="F806" t="str">
        <f>INDEX(Accounts!$C$2:$C$9,MATCH(D806,Accounts!$A$2:$A$9,0))</f>
        <v>Operating Expense</v>
      </c>
      <c r="G806" t="s">
        <v>45</v>
      </c>
      <c r="H806" t="s">
        <v>46</v>
      </c>
      <c r="I806">
        <v>21297</v>
      </c>
    </row>
    <row r="807" spans="1:9" x14ac:dyDescent="0.3">
      <c r="A807" t="s">
        <v>1079</v>
      </c>
      <c r="B807" t="s">
        <v>1076</v>
      </c>
      <c r="C807">
        <f t="shared" si="12"/>
        <v>45870</v>
      </c>
      <c r="D807">
        <v>6300</v>
      </c>
      <c r="E807" t="str">
        <f>INDEX(Accounts!$B$2:$B$9,MATCH(D807,Accounts!$A$2:$A$9,0))</f>
        <v>Logistics Expense</v>
      </c>
      <c r="F807" t="str">
        <f>INDEX(Accounts!$C$2:$C$9,MATCH(D807,Accounts!$A$2:$A$9,0))</f>
        <v>Operating Expense</v>
      </c>
      <c r="G807" t="s">
        <v>41</v>
      </c>
      <c r="H807" t="s">
        <v>42</v>
      </c>
      <c r="I807">
        <v>9488</v>
      </c>
    </row>
    <row r="808" spans="1:9" x14ac:dyDescent="0.3">
      <c r="A808" t="s">
        <v>1080</v>
      </c>
      <c r="B808" t="s">
        <v>1076</v>
      </c>
      <c r="C808">
        <f t="shared" si="12"/>
        <v>45870</v>
      </c>
      <c r="D808">
        <v>6000</v>
      </c>
      <c r="E808" t="str">
        <f>INDEX(Accounts!$B$2:$B$9,MATCH(D808,Accounts!$A$2:$A$9,0))</f>
        <v>Salaries &amp; Wages</v>
      </c>
      <c r="F808" t="str">
        <f>INDEX(Accounts!$C$2:$C$9,MATCH(D808,Accounts!$A$2:$A$9,0))</f>
        <v>Operating Expense</v>
      </c>
      <c r="G808" t="s">
        <v>41</v>
      </c>
      <c r="H808" t="s">
        <v>46</v>
      </c>
      <c r="I808">
        <v>6900</v>
      </c>
    </row>
    <row r="809" spans="1:9" x14ac:dyDescent="0.3">
      <c r="A809" t="s">
        <v>1081</v>
      </c>
      <c r="B809" t="s">
        <v>1076</v>
      </c>
      <c r="C809">
        <f t="shared" si="12"/>
        <v>45870</v>
      </c>
      <c r="D809">
        <v>5000</v>
      </c>
      <c r="E809" t="str">
        <f>INDEX(Accounts!$B$2:$B$9,MATCH(D809,Accounts!$A$2:$A$9,0))</f>
        <v>Cost of Goods Sold</v>
      </c>
      <c r="F809" t="str">
        <f>INDEX(Accounts!$C$2:$C$9,MATCH(D809,Accounts!$A$2:$A$9,0))</f>
        <v>COGS</v>
      </c>
      <c r="G809" t="s">
        <v>45</v>
      </c>
      <c r="H809" t="s">
        <v>42</v>
      </c>
      <c r="I809">
        <v>30461</v>
      </c>
    </row>
    <row r="810" spans="1:9" x14ac:dyDescent="0.3">
      <c r="A810" t="s">
        <v>1082</v>
      </c>
      <c r="B810" t="s">
        <v>1083</v>
      </c>
      <c r="C810">
        <f t="shared" si="12"/>
        <v>45870</v>
      </c>
      <c r="D810">
        <v>6200</v>
      </c>
      <c r="E810" t="str">
        <f>INDEX(Accounts!$B$2:$B$9,MATCH(D810,Accounts!$A$2:$A$9,0))</f>
        <v>Rent &amp; Utilities</v>
      </c>
      <c r="F810" t="str">
        <f>INDEX(Accounts!$C$2:$C$9,MATCH(D810,Accounts!$A$2:$A$9,0))</f>
        <v>Operating Expense</v>
      </c>
      <c r="G810" t="s">
        <v>43</v>
      </c>
      <c r="H810" t="s">
        <v>46</v>
      </c>
      <c r="I810">
        <v>6727</v>
      </c>
    </row>
    <row r="811" spans="1:9" x14ac:dyDescent="0.3">
      <c r="A811" t="s">
        <v>1084</v>
      </c>
      <c r="B811" t="s">
        <v>1083</v>
      </c>
      <c r="C811">
        <f t="shared" si="12"/>
        <v>45870</v>
      </c>
      <c r="D811">
        <v>6300</v>
      </c>
      <c r="E811" t="str">
        <f>INDEX(Accounts!$B$2:$B$9,MATCH(D811,Accounts!$A$2:$A$9,0))</f>
        <v>Logistics Expense</v>
      </c>
      <c r="F811" t="str">
        <f>INDEX(Accounts!$C$2:$C$9,MATCH(D811,Accounts!$A$2:$A$9,0))</f>
        <v>Operating Expense</v>
      </c>
      <c r="G811" t="s">
        <v>41</v>
      </c>
      <c r="H811" t="s">
        <v>46</v>
      </c>
      <c r="I811">
        <v>9455</v>
      </c>
    </row>
    <row r="812" spans="1:9" x14ac:dyDescent="0.3">
      <c r="A812" t="s">
        <v>1085</v>
      </c>
      <c r="B812" t="s">
        <v>1083</v>
      </c>
      <c r="C812">
        <f t="shared" si="12"/>
        <v>45870</v>
      </c>
      <c r="D812">
        <v>6100</v>
      </c>
      <c r="E812" t="str">
        <f>INDEX(Accounts!$B$2:$B$9,MATCH(D812,Accounts!$A$2:$A$9,0))</f>
        <v>Marketing Expense</v>
      </c>
      <c r="F812" t="str">
        <f>INDEX(Accounts!$C$2:$C$9,MATCH(D812,Accounts!$A$2:$A$9,0))</f>
        <v>Operating Expense</v>
      </c>
      <c r="G812" t="s">
        <v>41</v>
      </c>
      <c r="H812" t="s">
        <v>42</v>
      </c>
      <c r="I812">
        <v>10980</v>
      </c>
    </row>
    <row r="813" spans="1:9" x14ac:dyDescent="0.3">
      <c r="A813" t="s">
        <v>1086</v>
      </c>
      <c r="B813" t="s">
        <v>1087</v>
      </c>
      <c r="C813">
        <f t="shared" si="12"/>
        <v>45870</v>
      </c>
      <c r="D813">
        <v>5000</v>
      </c>
      <c r="E813" t="str">
        <f>INDEX(Accounts!$B$2:$B$9,MATCH(D813,Accounts!$A$2:$A$9,0))</f>
        <v>Cost of Goods Sold</v>
      </c>
      <c r="F813" t="str">
        <f>INDEX(Accounts!$C$2:$C$9,MATCH(D813,Accounts!$A$2:$A$9,0))</f>
        <v>COGS</v>
      </c>
      <c r="G813" t="s">
        <v>43</v>
      </c>
      <c r="H813" t="s">
        <v>44</v>
      </c>
      <c r="I813">
        <v>36818</v>
      </c>
    </row>
    <row r="814" spans="1:9" x14ac:dyDescent="0.3">
      <c r="A814" t="s">
        <v>1088</v>
      </c>
      <c r="B814" t="s">
        <v>1087</v>
      </c>
      <c r="C814">
        <f t="shared" si="12"/>
        <v>45870</v>
      </c>
      <c r="D814">
        <v>6300</v>
      </c>
      <c r="E814" t="str">
        <f>INDEX(Accounts!$B$2:$B$9,MATCH(D814,Accounts!$A$2:$A$9,0))</f>
        <v>Logistics Expense</v>
      </c>
      <c r="F814" t="str">
        <f>INDEX(Accounts!$C$2:$C$9,MATCH(D814,Accounts!$A$2:$A$9,0))</f>
        <v>Operating Expense</v>
      </c>
      <c r="G814" t="s">
        <v>43</v>
      </c>
      <c r="H814" t="s">
        <v>42</v>
      </c>
      <c r="I814">
        <v>2307</v>
      </c>
    </row>
    <row r="815" spans="1:9" x14ac:dyDescent="0.3">
      <c r="A815" t="s">
        <v>1089</v>
      </c>
      <c r="B815" t="s">
        <v>1087</v>
      </c>
      <c r="C815">
        <f t="shared" si="12"/>
        <v>45870</v>
      </c>
      <c r="D815">
        <v>4000</v>
      </c>
      <c r="E815" t="str">
        <f>INDEX(Accounts!$B$2:$B$9,MATCH(D815,Accounts!$A$2:$A$9,0))</f>
        <v>Product Sales</v>
      </c>
      <c r="F815" t="str">
        <f>INDEX(Accounts!$C$2:$C$9,MATCH(D815,Accounts!$A$2:$A$9,0))</f>
        <v>Revenue</v>
      </c>
      <c r="G815" t="s">
        <v>43</v>
      </c>
      <c r="H815" t="s">
        <v>46</v>
      </c>
      <c r="I815">
        <v>122806</v>
      </c>
    </row>
    <row r="816" spans="1:9" x14ac:dyDescent="0.3">
      <c r="A816" t="s">
        <v>1090</v>
      </c>
      <c r="B816" t="s">
        <v>1091</v>
      </c>
      <c r="C816">
        <f t="shared" si="12"/>
        <v>45870</v>
      </c>
      <c r="D816">
        <v>6400</v>
      </c>
      <c r="E816" t="str">
        <f>INDEX(Accounts!$B$2:$B$9,MATCH(D816,Accounts!$A$2:$A$9,0))</f>
        <v>Software &amp; Admin</v>
      </c>
      <c r="F816" t="str">
        <f>INDEX(Accounts!$C$2:$C$9,MATCH(D816,Accounts!$A$2:$A$9,0))</f>
        <v>Operating Expense</v>
      </c>
      <c r="G816" t="s">
        <v>41</v>
      </c>
      <c r="H816" t="s">
        <v>44</v>
      </c>
      <c r="I816">
        <v>3573</v>
      </c>
    </row>
    <row r="817" spans="1:9" x14ac:dyDescent="0.3">
      <c r="A817" t="s">
        <v>1092</v>
      </c>
      <c r="B817" t="s">
        <v>1091</v>
      </c>
      <c r="C817">
        <f t="shared" si="12"/>
        <v>45870</v>
      </c>
      <c r="D817">
        <v>6300</v>
      </c>
      <c r="E817" t="str">
        <f>INDEX(Accounts!$B$2:$B$9,MATCH(D817,Accounts!$A$2:$A$9,0))</f>
        <v>Logistics Expense</v>
      </c>
      <c r="F817" t="str">
        <f>INDEX(Accounts!$C$2:$C$9,MATCH(D817,Accounts!$A$2:$A$9,0))</f>
        <v>Operating Expense</v>
      </c>
      <c r="G817" t="s">
        <v>47</v>
      </c>
      <c r="H817" t="s">
        <v>44</v>
      </c>
      <c r="I817">
        <v>5628</v>
      </c>
    </row>
    <row r="818" spans="1:9" x14ac:dyDescent="0.3">
      <c r="A818" t="s">
        <v>1093</v>
      </c>
      <c r="B818" t="s">
        <v>1091</v>
      </c>
      <c r="C818">
        <f t="shared" si="12"/>
        <v>45870</v>
      </c>
      <c r="D818">
        <v>6400</v>
      </c>
      <c r="E818" t="str">
        <f>INDEX(Accounts!$B$2:$B$9,MATCH(D818,Accounts!$A$2:$A$9,0))</f>
        <v>Software &amp; Admin</v>
      </c>
      <c r="F818" t="str">
        <f>INDEX(Accounts!$C$2:$C$9,MATCH(D818,Accounts!$A$2:$A$9,0))</f>
        <v>Operating Expense</v>
      </c>
      <c r="G818" t="s">
        <v>47</v>
      </c>
      <c r="H818" t="s">
        <v>44</v>
      </c>
      <c r="I818">
        <v>3346</v>
      </c>
    </row>
    <row r="819" spans="1:9" x14ac:dyDescent="0.3">
      <c r="A819" t="s">
        <v>1094</v>
      </c>
      <c r="B819" t="s">
        <v>1095</v>
      </c>
      <c r="C819">
        <f t="shared" si="12"/>
        <v>45870</v>
      </c>
      <c r="D819">
        <v>4000</v>
      </c>
      <c r="E819" t="str">
        <f>INDEX(Accounts!$B$2:$B$9,MATCH(D819,Accounts!$A$2:$A$9,0))</f>
        <v>Product Sales</v>
      </c>
      <c r="F819" t="str">
        <f>INDEX(Accounts!$C$2:$C$9,MATCH(D819,Accounts!$A$2:$A$9,0))</f>
        <v>Revenue</v>
      </c>
      <c r="G819" t="s">
        <v>47</v>
      </c>
      <c r="H819" t="s">
        <v>46</v>
      </c>
      <c r="I819">
        <v>41158</v>
      </c>
    </row>
    <row r="820" spans="1:9" x14ac:dyDescent="0.3">
      <c r="A820" t="s">
        <v>1096</v>
      </c>
      <c r="B820" t="s">
        <v>1095</v>
      </c>
      <c r="C820">
        <f t="shared" si="12"/>
        <v>45870</v>
      </c>
      <c r="D820">
        <v>6300</v>
      </c>
      <c r="E820" t="str">
        <f>INDEX(Accounts!$B$2:$B$9,MATCH(D820,Accounts!$A$2:$A$9,0))</f>
        <v>Logistics Expense</v>
      </c>
      <c r="F820" t="str">
        <f>INDEX(Accounts!$C$2:$C$9,MATCH(D820,Accounts!$A$2:$A$9,0))</f>
        <v>Operating Expense</v>
      </c>
      <c r="G820" t="s">
        <v>41</v>
      </c>
      <c r="H820" t="s">
        <v>46</v>
      </c>
      <c r="I820">
        <v>11708</v>
      </c>
    </row>
    <row r="821" spans="1:9" x14ac:dyDescent="0.3">
      <c r="A821" t="s">
        <v>1097</v>
      </c>
      <c r="B821" t="s">
        <v>1095</v>
      </c>
      <c r="C821">
        <f t="shared" si="12"/>
        <v>45870</v>
      </c>
      <c r="D821">
        <v>6300</v>
      </c>
      <c r="E821" t="str">
        <f>INDEX(Accounts!$B$2:$B$9,MATCH(D821,Accounts!$A$2:$A$9,0))</f>
        <v>Logistics Expense</v>
      </c>
      <c r="F821" t="str">
        <f>INDEX(Accounts!$C$2:$C$9,MATCH(D821,Accounts!$A$2:$A$9,0))</f>
        <v>Operating Expense</v>
      </c>
      <c r="G821" t="s">
        <v>43</v>
      </c>
      <c r="H821" t="s">
        <v>46</v>
      </c>
      <c r="I821">
        <v>11061</v>
      </c>
    </row>
    <row r="822" spans="1:9" x14ac:dyDescent="0.3">
      <c r="A822" t="s">
        <v>1098</v>
      </c>
      <c r="B822" t="s">
        <v>1095</v>
      </c>
      <c r="C822">
        <f t="shared" si="12"/>
        <v>45870</v>
      </c>
      <c r="D822">
        <v>6400</v>
      </c>
      <c r="E822" t="str">
        <f>INDEX(Accounts!$B$2:$B$9,MATCH(D822,Accounts!$A$2:$A$9,0))</f>
        <v>Software &amp; Admin</v>
      </c>
      <c r="F822" t="str">
        <f>INDEX(Accounts!$C$2:$C$9,MATCH(D822,Accounts!$A$2:$A$9,0))</f>
        <v>Operating Expense</v>
      </c>
      <c r="G822" t="s">
        <v>41</v>
      </c>
      <c r="H822" t="s">
        <v>44</v>
      </c>
      <c r="I822">
        <v>1820</v>
      </c>
    </row>
    <row r="823" spans="1:9" x14ac:dyDescent="0.3">
      <c r="A823" t="s">
        <v>1099</v>
      </c>
      <c r="B823" t="s">
        <v>1100</v>
      </c>
      <c r="C823">
        <f t="shared" si="12"/>
        <v>45870</v>
      </c>
      <c r="D823">
        <v>6300</v>
      </c>
      <c r="E823" t="str">
        <f>INDEX(Accounts!$B$2:$B$9,MATCH(D823,Accounts!$A$2:$A$9,0))</f>
        <v>Logistics Expense</v>
      </c>
      <c r="F823" t="str">
        <f>INDEX(Accounts!$C$2:$C$9,MATCH(D823,Accounts!$A$2:$A$9,0))</f>
        <v>Operating Expense</v>
      </c>
      <c r="G823" t="s">
        <v>45</v>
      </c>
      <c r="H823" t="s">
        <v>46</v>
      </c>
      <c r="I823">
        <v>1638</v>
      </c>
    </row>
    <row r="824" spans="1:9" x14ac:dyDescent="0.3">
      <c r="A824" t="s">
        <v>1101</v>
      </c>
      <c r="B824" t="s">
        <v>1100</v>
      </c>
      <c r="C824">
        <f t="shared" si="12"/>
        <v>45870</v>
      </c>
      <c r="D824">
        <v>6300</v>
      </c>
      <c r="E824" t="str">
        <f>INDEX(Accounts!$B$2:$B$9,MATCH(D824,Accounts!$A$2:$A$9,0))</f>
        <v>Logistics Expense</v>
      </c>
      <c r="F824" t="str">
        <f>INDEX(Accounts!$C$2:$C$9,MATCH(D824,Accounts!$A$2:$A$9,0))</f>
        <v>Operating Expense</v>
      </c>
      <c r="G824" t="s">
        <v>45</v>
      </c>
      <c r="H824" t="s">
        <v>46</v>
      </c>
      <c r="I824">
        <v>6418</v>
      </c>
    </row>
    <row r="825" spans="1:9" x14ac:dyDescent="0.3">
      <c r="A825" t="s">
        <v>1102</v>
      </c>
      <c r="B825" t="s">
        <v>1100</v>
      </c>
      <c r="C825">
        <f t="shared" si="12"/>
        <v>45870</v>
      </c>
      <c r="D825">
        <v>6300</v>
      </c>
      <c r="E825" t="str">
        <f>INDEX(Accounts!$B$2:$B$9,MATCH(D825,Accounts!$A$2:$A$9,0))</f>
        <v>Logistics Expense</v>
      </c>
      <c r="F825" t="str">
        <f>INDEX(Accounts!$C$2:$C$9,MATCH(D825,Accounts!$A$2:$A$9,0))</f>
        <v>Operating Expense</v>
      </c>
      <c r="G825" t="s">
        <v>45</v>
      </c>
      <c r="H825" t="s">
        <v>44</v>
      </c>
      <c r="I825">
        <v>6916</v>
      </c>
    </row>
    <row r="826" spans="1:9" x14ac:dyDescent="0.3">
      <c r="A826" t="s">
        <v>1103</v>
      </c>
      <c r="B826" t="s">
        <v>1104</v>
      </c>
      <c r="C826">
        <f t="shared" si="12"/>
        <v>45870</v>
      </c>
      <c r="D826">
        <v>6000</v>
      </c>
      <c r="E826" t="str">
        <f>INDEX(Accounts!$B$2:$B$9,MATCH(D826,Accounts!$A$2:$A$9,0))</f>
        <v>Salaries &amp; Wages</v>
      </c>
      <c r="F826" t="str">
        <f>INDEX(Accounts!$C$2:$C$9,MATCH(D826,Accounts!$A$2:$A$9,0))</f>
        <v>Operating Expense</v>
      </c>
      <c r="G826" t="s">
        <v>43</v>
      </c>
      <c r="H826" t="s">
        <v>46</v>
      </c>
      <c r="I826">
        <v>27201</v>
      </c>
    </row>
    <row r="827" spans="1:9" x14ac:dyDescent="0.3">
      <c r="A827" t="s">
        <v>1105</v>
      </c>
      <c r="B827" t="s">
        <v>1104</v>
      </c>
      <c r="C827">
        <f t="shared" si="12"/>
        <v>45870</v>
      </c>
      <c r="D827">
        <v>6300</v>
      </c>
      <c r="E827" t="str">
        <f>INDEX(Accounts!$B$2:$B$9,MATCH(D827,Accounts!$A$2:$A$9,0))</f>
        <v>Logistics Expense</v>
      </c>
      <c r="F827" t="str">
        <f>INDEX(Accounts!$C$2:$C$9,MATCH(D827,Accounts!$A$2:$A$9,0))</f>
        <v>Operating Expense</v>
      </c>
      <c r="G827" t="s">
        <v>47</v>
      </c>
      <c r="H827" t="s">
        <v>46</v>
      </c>
      <c r="I827">
        <v>4104</v>
      </c>
    </row>
    <row r="828" spans="1:9" x14ac:dyDescent="0.3">
      <c r="A828" t="s">
        <v>1106</v>
      </c>
      <c r="B828" t="s">
        <v>1104</v>
      </c>
      <c r="C828">
        <f t="shared" si="12"/>
        <v>45870</v>
      </c>
      <c r="D828">
        <v>4000</v>
      </c>
      <c r="E828" t="str">
        <f>INDEX(Accounts!$B$2:$B$9,MATCH(D828,Accounts!$A$2:$A$9,0))</f>
        <v>Product Sales</v>
      </c>
      <c r="F828" t="str">
        <f>INDEX(Accounts!$C$2:$C$9,MATCH(D828,Accounts!$A$2:$A$9,0))</f>
        <v>Revenue</v>
      </c>
      <c r="G828" t="s">
        <v>47</v>
      </c>
      <c r="H828" t="s">
        <v>46</v>
      </c>
      <c r="I828">
        <v>27332</v>
      </c>
    </row>
    <row r="829" spans="1:9" x14ac:dyDescent="0.3">
      <c r="A829" t="s">
        <v>1107</v>
      </c>
      <c r="B829" t="s">
        <v>1104</v>
      </c>
      <c r="C829">
        <f t="shared" si="12"/>
        <v>45870</v>
      </c>
      <c r="D829">
        <v>6000</v>
      </c>
      <c r="E829" t="str">
        <f>INDEX(Accounts!$B$2:$B$9,MATCH(D829,Accounts!$A$2:$A$9,0))</f>
        <v>Salaries &amp; Wages</v>
      </c>
      <c r="F829" t="str">
        <f>INDEX(Accounts!$C$2:$C$9,MATCH(D829,Accounts!$A$2:$A$9,0))</f>
        <v>Operating Expense</v>
      </c>
      <c r="G829" t="s">
        <v>41</v>
      </c>
      <c r="H829" t="s">
        <v>42</v>
      </c>
      <c r="I829">
        <v>14771</v>
      </c>
    </row>
    <row r="830" spans="1:9" x14ac:dyDescent="0.3">
      <c r="A830" t="s">
        <v>1108</v>
      </c>
      <c r="B830" t="s">
        <v>1109</v>
      </c>
      <c r="C830">
        <f t="shared" si="12"/>
        <v>45870</v>
      </c>
      <c r="D830">
        <v>4000</v>
      </c>
      <c r="E830" t="str">
        <f>INDEX(Accounts!$B$2:$B$9,MATCH(D830,Accounts!$A$2:$A$9,0))</f>
        <v>Product Sales</v>
      </c>
      <c r="F830" t="str">
        <f>INDEX(Accounts!$C$2:$C$9,MATCH(D830,Accounts!$A$2:$A$9,0))</f>
        <v>Revenue</v>
      </c>
      <c r="G830" t="s">
        <v>43</v>
      </c>
      <c r="H830" t="s">
        <v>46</v>
      </c>
      <c r="I830">
        <v>134741</v>
      </c>
    </row>
    <row r="831" spans="1:9" x14ac:dyDescent="0.3">
      <c r="A831" t="s">
        <v>1110</v>
      </c>
      <c r="B831" t="s">
        <v>1109</v>
      </c>
      <c r="C831">
        <f t="shared" si="12"/>
        <v>45870</v>
      </c>
      <c r="D831">
        <v>5000</v>
      </c>
      <c r="E831" t="str">
        <f>INDEX(Accounts!$B$2:$B$9,MATCH(D831,Accounts!$A$2:$A$9,0))</f>
        <v>Cost of Goods Sold</v>
      </c>
      <c r="F831" t="str">
        <f>INDEX(Accounts!$C$2:$C$9,MATCH(D831,Accounts!$A$2:$A$9,0))</f>
        <v>COGS</v>
      </c>
      <c r="G831" t="s">
        <v>43</v>
      </c>
      <c r="H831" t="s">
        <v>44</v>
      </c>
      <c r="I831">
        <v>42058</v>
      </c>
    </row>
    <row r="832" spans="1:9" x14ac:dyDescent="0.3">
      <c r="A832" t="s">
        <v>1111</v>
      </c>
      <c r="B832" t="s">
        <v>1109</v>
      </c>
      <c r="C832">
        <f t="shared" si="12"/>
        <v>45870</v>
      </c>
      <c r="D832">
        <v>5000</v>
      </c>
      <c r="E832" t="str">
        <f>INDEX(Accounts!$B$2:$B$9,MATCH(D832,Accounts!$A$2:$A$9,0))</f>
        <v>Cost of Goods Sold</v>
      </c>
      <c r="F832" t="str">
        <f>INDEX(Accounts!$C$2:$C$9,MATCH(D832,Accounts!$A$2:$A$9,0))</f>
        <v>COGS</v>
      </c>
      <c r="G832" t="s">
        <v>41</v>
      </c>
      <c r="H832" t="s">
        <v>44</v>
      </c>
      <c r="I832">
        <v>57083</v>
      </c>
    </row>
    <row r="833" spans="1:9" x14ac:dyDescent="0.3">
      <c r="A833" t="s">
        <v>1112</v>
      </c>
      <c r="B833" t="s">
        <v>1109</v>
      </c>
      <c r="C833">
        <f t="shared" si="12"/>
        <v>45870</v>
      </c>
      <c r="D833">
        <v>6000</v>
      </c>
      <c r="E833" t="str">
        <f>INDEX(Accounts!$B$2:$B$9,MATCH(D833,Accounts!$A$2:$A$9,0))</f>
        <v>Salaries &amp; Wages</v>
      </c>
      <c r="F833" t="str">
        <f>INDEX(Accounts!$C$2:$C$9,MATCH(D833,Accounts!$A$2:$A$9,0))</f>
        <v>Operating Expense</v>
      </c>
      <c r="G833" t="s">
        <v>45</v>
      </c>
      <c r="H833" t="s">
        <v>44</v>
      </c>
      <c r="I833">
        <v>27426</v>
      </c>
    </row>
    <row r="834" spans="1:9" x14ac:dyDescent="0.3">
      <c r="A834" t="s">
        <v>1113</v>
      </c>
      <c r="B834" t="s">
        <v>1109</v>
      </c>
      <c r="C834">
        <f t="shared" ref="C834:C897" si="13">DATE(YEAR(B834),MONTH(B834),1)</f>
        <v>45870</v>
      </c>
      <c r="D834">
        <v>4000</v>
      </c>
      <c r="E834" t="str">
        <f>INDEX(Accounts!$B$2:$B$9,MATCH(D834,Accounts!$A$2:$A$9,0))</f>
        <v>Product Sales</v>
      </c>
      <c r="F834" t="str">
        <f>INDEX(Accounts!$C$2:$C$9,MATCH(D834,Accounts!$A$2:$A$9,0))</f>
        <v>Revenue</v>
      </c>
      <c r="G834" t="s">
        <v>45</v>
      </c>
      <c r="H834" t="s">
        <v>42</v>
      </c>
      <c r="I834">
        <v>27439</v>
      </c>
    </row>
    <row r="835" spans="1:9" x14ac:dyDescent="0.3">
      <c r="A835" t="s">
        <v>1114</v>
      </c>
      <c r="B835" t="s">
        <v>1115</v>
      </c>
      <c r="C835">
        <f t="shared" si="13"/>
        <v>45870</v>
      </c>
      <c r="D835">
        <v>6000</v>
      </c>
      <c r="E835" t="str">
        <f>INDEX(Accounts!$B$2:$B$9,MATCH(D835,Accounts!$A$2:$A$9,0))</f>
        <v>Salaries &amp; Wages</v>
      </c>
      <c r="F835" t="str">
        <f>INDEX(Accounts!$C$2:$C$9,MATCH(D835,Accounts!$A$2:$A$9,0))</f>
        <v>Operating Expense</v>
      </c>
      <c r="G835" t="s">
        <v>43</v>
      </c>
      <c r="H835" t="s">
        <v>42</v>
      </c>
      <c r="I835">
        <v>16823</v>
      </c>
    </row>
    <row r="836" spans="1:9" x14ac:dyDescent="0.3">
      <c r="A836" t="s">
        <v>1116</v>
      </c>
      <c r="B836" t="s">
        <v>1115</v>
      </c>
      <c r="C836">
        <f t="shared" si="13"/>
        <v>45870</v>
      </c>
      <c r="D836">
        <v>5000</v>
      </c>
      <c r="E836" t="str">
        <f>INDEX(Accounts!$B$2:$B$9,MATCH(D836,Accounts!$A$2:$A$9,0))</f>
        <v>Cost of Goods Sold</v>
      </c>
      <c r="F836" t="str">
        <f>INDEX(Accounts!$C$2:$C$9,MATCH(D836,Accounts!$A$2:$A$9,0))</f>
        <v>COGS</v>
      </c>
      <c r="G836" t="s">
        <v>43</v>
      </c>
      <c r="H836" t="s">
        <v>44</v>
      </c>
      <c r="I836">
        <v>17806</v>
      </c>
    </row>
    <row r="837" spans="1:9" x14ac:dyDescent="0.3">
      <c r="A837" t="s">
        <v>1117</v>
      </c>
      <c r="B837" t="s">
        <v>1115</v>
      </c>
      <c r="C837">
        <f t="shared" si="13"/>
        <v>45870</v>
      </c>
      <c r="D837">
        <v>6100</v>
      </c>
      <c r="E837" t="str">
        <f>INDEX(Accounts!$B$2:$B$9,MATCH(D837,Accounts!$A$2:$A$9,0))</f>
        <v>Marketing Expense</v>
      </c>
      <c r="F837" t="str">
        <f>INDEX(Accounts!$C$2:$C$9,MATCH(D837,Accounts!$A$2:$A$9,0))</f>
        <v>Operating Expense</v>
      </c>
      <c r="G837" t="s">
        <v>47</v>
      </c>
      <c r="H837" t="s">
        <v>46</v>
      </c>
      <c r="I837">
        <v>16420</v>
      </c>
    </row>
    <row r="838" spans="1:9" x14ac:dyDescent="0.3">
      <c r="A838" t="s">
        <v>1118</v>
      </c>
      <c r="B838" t="s">
        <v>1115</v>
      </c>
      <c r="C838">
        <f t="shared" si="13"/>
        <v>45870</v>
      </c>
      <c r="D838">
        <v>6000</v>
      </c>
      <c r="E838" t="str">
        <f>INDEX(Accounts!$B$2:$B$9,MATCH(D838,Accounts!$A$2:$A$9,0))</f>
        <v>Salaries &amp; Wages</v>
      </c>
      <c r="F838" t="str">
        <f>INDEX(Accounts!$C$2:$C$9,MATCH(D838,Accounts!$A$2:$A$9,0))</f>
        <v>Operating Expense</v>
      </c>
      <c r="G838" t="s">
        <v>41</v>
      </c>
      <c r="H838" t="s">
        <v>44</v>
      </c>
      <c r="I838">
        <v>18204</v>
      </c>
    </row>
    <row r="839" spans="1:9" x14ac:dyDescent="0.3">
      <c r="A839" t="s">
        <v>1119</v>
      </c>
      <c r="B839" t="s">
        <v>1115</v>
      </c>
      <c r="C839">
        <f t="shared" si="13"/>
        <v>45870</v>
      </c>
      <c r="D839">
        <v>4000</v>
      </c>
      <c r="E839" t="str">
        <f>INDEX(Accounts!$B$2:$B$9,MATCH(D839,Accounts!$A$2:$A$9,0))</f>
        <v>Product Sales</v>
      </c>
      <c r="F839" t="str">
        <f>INDEX(Accounts!$C$2:$C$9,MATCH(D839,Accounts!$A$2:$A$9,0))</f>
        <v>Revenue</v>
      </c>
      <c r="G839" t="s">
        <v>43</v>
      </c>
      <c r="H839" t="s">
        <v>46</v>
      </c>
      <c r="I839">
        <v>123102</v>
      </c>
    </row>
    <row r="840" spans="1:9" x14ac:dyDescent="0.3">
      <c r="A840" t="s">
        <v>1120</v>
      </c>
      <c r="B840" t="s">
        <v>1115</v>
      </c>
      <c r="C840">
        <f t="shared" si="13"/>
        <v>45870</v>
      </c>
      <c r="D840">
        <v>6100</v>
      </c>
      <c r="E840" t="str">
        <f>INDEX(Accounts!$B$2:$B$9,MATCH(D840,Accounts!$A$2:$A$9,0))</f>
        <v>Marketing Expense</v>
      </c>
      <c r="F840" t="str">
        <f>INDEX(Accounts!$C$2:$C$9,MATCH(D840,Accounts!$A$2:$A$9,0))</f>
        <v>Operating Expense</v>
      </c>
      <c r="G840" t="s">
        <v>43</v>
      </c>
      <c r="H840" t="s">
        <v>42</v>
      </c>
      <c r="I840">
        <v>7622</v>
      </c>
    </row>
    <row r="841" spans="1:9" x14ac:dyDescent="0.3">
      <c r="A841" t="s">
        <v>1121</v>
      </c>
      <c r="B841" t="s">
        <v>1115</v>
      </c>
      <c r="C841">
        <f t="shared" si="13"/>
        <v>45870</v>
      </c>
      <c r="D841">
        <v>6400</v>
      </c>
      <c r="E841" t="str">
        <f>INDEX(Accounts!$B$2:$B$9,MATCH(D841,Accounts!$A$2:$A$9,0))</f>
        <v>Software &amp; Admin</v>
      </c>
      <c r="F841" t="str">
        <f>INDEX(Accounts!$C$2:$C$9,MATCH(D841,Accounts!$A$2:$A$9,0))</f>
        <v>Operating Expense</v>
      </c>
      <c r="G841" t="s">
        <v>41</v>
      </c>
      <c r="H841" t="s">
        <v>42</v>
      </c>
      <c r="I841">
        <v>9199</v>
      </c>
    </row>
    <row r="842" spans="1:9" x14ac:dyDescent="0.3">
      <c r="A842" t="s">
        <v>1122</v>
      </c>
      <c r="B842" t="s">
        <v>1123</v>
      </c>
      <c r="C842">
        <f t="shared" si="13"/>
        <v>45870</v>
      </c>
      <c r="D842">
        <v>6400</v>
      </c>
      <c r="E842" t="str">
        <f>INDEX(Accounts!$B$2:$B$9,MATCH(D842,Accounts!$A$2:$A$9,0))</f>
        <v>Software &amp; Admin</v>
      </c>
      <c r="F842" t="str">
        <f>INDEX(Accounts!$C$2:$C$9,MATCH(D842,Accounts!$A$2:$A$9,0))</f>
        <v>Operating Expense</v>
      </c>
      <c r="G842" t="s">
        <v>47</v>
      </c>
      <c r="H842" t="s">
        <v>46</v>
      </c>
      <c r="I842">
        <v>1507</v>
      </c>
    </row>
    <row r="843" spans="1:9" x14ac:dyDescent="0.3">
      <c r="A843" t="s">
        <v>1124</v>
      </c>
      <c r="B843" t="s">
        <v>1123</v>
      </c>
      <c r="C843">
        <f t="shared" si="13"/>
        <v>45870</v>
      </c>
      <c r="D843">
        <v>5000</v>
      </c>
      <c r="E843" t="str">
        <f>INDEX(Accounts!$B$2:$B$9,MATCH(D843,Accounts!$A$2:$A$9,0))</f>
        <v>Cost of Goods Sold</v>
      </c>
      <c r="F843" t="str">
        <f>INDEX(Accounts!$C$2:$C$9,MATCH(D843,Accounts!$A$2:$A$9,0))</f>
        <v>COGS</v>
      </c>
      <c r="G843" t="s">
        <v>41</v>
      </c>
      <c r="H843" t="s">
        <v>42</v>
      </c>
      <c r="I843">
        <v>19195</v>
      </c>
    </row>
    <row r="844" spans="1:9" x14ac:dyDescent="0.3">
      <c r="A844" t="s">
        <v>1125</v>
      </c>
      <c r="B844" t="s">
        <v>1123</v>
      </c>
      <c r="C844">
        <f t="shared" si="13"/>
        <v>45870</v>
      </c>
      <c r="D844">
        <v>4000</v>
      </c>
      <c r="E844" t="str">
        <f>INDEX(Accounts!$B$2:$B$9,MATCH(D844,Accounts!$A$2:$A$9,0))</f>
        <v>Product Sales</v>
      </c>
      <c r="F844" t="str">
        <f>INDEX(Accounts!$C$2:$C$9,MATCH(D844,Accounts!$A$2:$A$9,0))</f>
        <v>Revenue</v>
      </c>
      <c r="G844" t="s">
        <v>48</v>
      </c>
      <c r="H844" t="s">
        <v>44</v>
      </c>
      <c r="I844">
        <v>70319</v>
      </c>
    </row>
    <row r="845" spans="1:9" x14ac:dyDescent="0.3">
      <c r="A845" t="s">
        <v>1126</v>
      </c>
      <c r="B845" t="s">
        <v>1123</v>
      </c>
      <c r="C845">
        <f t="shared" si="13"/>
        <v>45870</v>
      </c>
      <c r="D845">
        <v>5000</v>
      </c>
      <c r="E845" t="str">
        <f>INDEX(Accounts!$B$2:$B$9,MATCH(D845,Accounts!$A$2:$A$9,0))</f>
        <v>Cost of Goods Sold</v>
      </c>
      <c r="F845" t="str">
        <f>INDEX(Accounts!$C$2:$C$9,MATCH(D845,Accounts!$A$2:$A$9,0))</f>
        <v>COGS</v>
      </c>
      <c r="G845" t="s">
        <v>48</v>
      </c>
      <c r="H845" t="s">
        <v>44</v>
      </c>
      <c r="I845">
        <v>46461</v>
      </c>
    </row>
    <row r="846" spans="1:9" x14ac:dyDescent="0.3">
      <c r="A846" t="s">
        <v>1127</v>
      </c>
      <c r="B846" t="s">
        <v>1123</v>
      </c>
      <c r="C846">
        <f t="shared" si="13"/>
        <v>45870</v>
      </c>
      <c r="D846">
        <v>5000</v>
      </c>
      <c r="E846" t="str">
        <f>INDEX(Accounts!$B$2:$B$9,MATCH(D846,Accounts!$A$2:$A$9,0))</f>
        <v>Cost of Goods Sold</v>
      </c>
      <c r="F846" t="str">
        <f>INDEX(Accounts!$C$2:$C$9,MATCH(D846,Accounts!$A$2:$A$9,0))</f>
        <v>COGS</v>
      </c>
      <c r="G846" t="s">
        <v>43</v>
      </c>
      <c r="H846" t="s">
        <v>44</v>
      </c>
      <c r="I846">
        <v>39286</v>
      </c>
    </row>
    <row r="847" spans="1:9" x14ac:dyDescent="0.3">
      <c r="A847" t="s">
        <v>1128</v>
      </c>
      <c r="B847" t="s">
        <v>1123</v>
      </c>
      <c r="C847">
        <f t="shared" si="13"/>
        <v>45870</v>
      </c>
      <c r="D847">
        <v>6400</v>
      </c>
      <c r="E847" t="str">
        <f>INDEX(Accounts!$B$2:$B$9,MATCH(D847,Accounts!$A$2:$A$9,0))</f>
        <v>Software &amp; Admin</v>
      </c>
      <c r="F847" t="str">
        <f>INDEX(Accounts!$C$2:$C$9,MATCH(D847,Accounts!$A$2:$A$9,0))</f>
        <v>Operating Expense</v>
      </c>
      <c r="G847" t="s">
        <v>45</v>
      </c>
      <c r="H847" t="s">
        <v>46</v>
      </c>
      <c r="I847">
        <v>1323</v>
      </c>
    </row>
    <row r="848" spans="1:9" x14ac:dyDescent="0.3">
      <c r="A848" t="s">
        <v>1129</v>
      </c>
      <c r="B848" t="s">
        <v>1123</v>
      </c>
      <c r="C848">
        <f t="shared" si="13"/>
        <v>45870</v>
      </c>
      <c r="D848">
        <v>6000</v>
      </c>
      <c r="E848" t="str">
        <f>INDEX(Accounts!$B$2:$B$9,MATCH(D848,Accounts!$A$2:$A$9,0))</f>
        <v>Salaries &amp; Wages</v>
      </c>
      <c r="F848" t="str">
        <f>INDEX(Accounts!$C$2:$C$9,MATCH(D848,Accounts!$A$2:$A$9,0))</f>
        <v>Operating Expense</v>
      </c>
      <c r="G848" t="s">
        <v>41</v>
      </c>
      <c r="H848" t="s">
        <v>42</v>
      </c>
      <c r="I848">
        <v>21763</v>
      </c>
    </row>
    <row r="849" spans="1:9" x14ac:dyDescent="0.3">
      <c r="A849" t="s">
        <v>1130</v>
      </c>
      <c r="B849" t="s">
        <v>1131</v>
      </c>
      <c r="C849">
        <f t="shared" si="13"/>
        <v>45870</v>
      </c>
      <c r="D849">
        <v>4100</v>
      </c>
      <c r="E849" t="str">
        <f>INDEX(Accounts!$B$2:$B$9,MATCH(D849,Accounts!$A$2:$A$9,0))</f>
        <v>Sales Returns &amp; Discounts</v>
      </c>
      <c r="F849" t="str">
        <f>INDEX(Accounts!$C$2:$C$9,MATCH(D849,Accounts!$A$2:$A$9,0))</f>
        <v>Contra Revenue</v>
      </c>
      <c r="G849" t="s">
        <v>41</v>
      </c>
      <c r="H849" t="s">
        <v>42</v>
      </c>
      <c r="I849">
        <v>6052</v>
      </c>
    </row>
    <row r="850" spans="1:9" x14ac:dyDescent="0.3">
      <c r="A850" t="s">
        <v>1132</v>
      </c>
      <c r="B850" t="s">
        <v>1131</v>
      </c>
      <c r="C850">
        <f t="shared" si="13"/>
        <v>45870</v>
      </c>
      <c r="D850">
        <v>4000</v>
      </c>
      <c r="E850" t="str">
        <f>INDEX(Accounts!$B$2:$B$9,MATCH(D850,Accounts!$A$2:$A$9,0))</f>
        <v>Product Sales</v>
      </c>
      <c r="F850" t="str">
        <f>INDEX(Accounts!$C$2:$C$9,MATCH(D850,Accounts!$A$2:$A$9,0))</f>
        <v>Revenue</v>
      </c>
      <c r="G850" t="s">
        <v>41</v>
      </c>
      <c r="H850" t="s">
        <v>46</v>
      </c>
      <c r="I850">
        <v>132349</v>
      </c>
    </row>
    <row r="851" spans="1:9" x14ac:dyDescent="0.3">
      <c r="A851" t="s">
        <v>1133</v>
      </c>
      <c r="B851" t="s">
        <v>1134</v>
      </c>
      <c r="C851">
        <f t="shared" si="13"/>
        <v>45870</v>
      </c>
      <c r="D851">
        <v>4100</v>
      </c>
      <c r="E851" t="str">
        <f>INDEX(Accounts!$B$2:$B$9,MATCH(D851,Accounts!$A$2:$A$9,0))</f>
        <v>Sales Returns &amp; Discounts</v>
      </c>
      <c r="F851" t="str">
        <f>INDEX(Accounts!$C$2:$C$9,MATCH(D851,Accounts!$A$2:$A$9,0))</f>
        <v>Contra Revenue</v>
      </c>
      <c r="G851" t="s">
        <v>41</v>
      </c>
      <c r="H851" t="s">
        <v>42</v>
      </c>
      <c r="I851">
        <v>7437</v>
      </c>
    </row>
    <row r="852" spans="1:9" x14ac:dyDescent="0.3">
      <c r="A852" t="s">
        <v>1135</v>
      </c>
      <c r="B852" t="s">
        <v>1134</v>
      </c>
      <c r="C852">
        <f t="shared" si="13"/>
        <v>45870</v>
      </c>
      <c r="D852">
        <v>5000</v>
      </c>
      <c r="E852" t="str">
        <f>INDEX(Accounts!$B$2:$B$9,MATCH(D852,Accounts!$A$2:$A$9,0))</f>
        <v>Cost of Goods Sold</v>
      </c>
      <c r="F852" t="str">
        <f>INDEX(Accounts!$C$2:$C$9,MATCH(D852,Accounts!$A$2:$A$9,0))</f>
        <v>COGS</v>
      </c>
      <c r="G852" t="s">
        <v>48</v>
      </c>
      <c r="H852" t="s">
        <v>46</v>
      </c>
      <c r="I852">
        <v>12918</v>
      </c>
    </row>
    <row r="853" spans="1:9" x14ac:dyDescent="0.3">
      <c r="A853" t="s">
        <v>1136</v>
      </c>
      <c r="B853" t="s">
        <v>1137</v>
      </c>
      <c r="C853">
        <f t="shared" si="13"/>
        <v>45870</v>
      </c>
      <c r="D853">
        <v>6000</v>
      </c>
      <c r="E853" t="str">
        <f>INDEX(Accounts!$B$2:$B$9,MATCH(D853,Accounts!$A$2:$A$9,0))</f>
        <v>Salaries &amp; Wages</v>
      </c>
      <c r="F853" t="str">
        <f>INDEX(Accounts!$C$2:$C$9,MATCH(D853,Accounts!$A$2:$A$9,0))</f>
        <v>Operating Expense</v>
      </c>
      <c r="G853" t="s">
        <v>48</v>
      </c>
      <c r="H853" t="s">
        <v>46</v>
      </c>
      <c r="I853">
        <v>13692</v>
      </c>
    </row>
    <row r="854" spans="1:9" x14ac:dyDescent="0.3">
      <c r="A854" t="s">
        <v>1138</v>
      </c>
      <c r="B854" t="s">
        <v>1137</v>
      </c>
      <c r="C854">
        <f t="shared" si="13"/>
        <v>45870</v>
      </c>
      <c r="D854">
        <v>6300</v>
      </c>
      <c r="E854" t="str">
        <f>INDEX(Accounts!$B$2:$B$9,MATCH(D854,Accounts!$A$2:$A$9,0))</f>
        <v>Logistics Expense</v>
      </c>
      <c r="F854" t="str">
        <f>INDEX(Accounts!$C$2:$C$9,MATCH(D854,Accounts!$A$2:$A$9,0))</f>
        <v>Operating Expense</v>
      </c>
      <c r="G854" t="s">
        <v>41</v>
      </c>
      <c r="H854" t="s">
        <v>42</v>
      </c>
      <c r="I854">
        <v>7784</v>
      </c>
    </row>
    <row r="855" spans="1:9" x14ac:dyDescent="0.3">
      <c r="A855" t="s">
        <v>1139</v>
      </c>
      <c r="B855" t="s">
        <v>1140</v>
      </c>
      <c r="C855">
        <f t="shared" si="13"/>
        <v>45870</v>
      </c>
      <c r="D855">
        <v>5000</v>
      </c>
      <c r="E855" t="str">
        <f>INDEX(Accounts!$B$2:$B$9,MATCH(D855,Accounts!$A$2:$A$9,0))</f>
        <v>Cost of Goods Sold</v>
      </c>
      <c r="F855" t="str">
        <f>INDEX(Accounts!$C$2:$C$9,MATCH(D855,Accounts!$A$2:$A$9,0))</f>
        <v>COGS</v>
      </c>
      <c r="G855" t="s">
        <v>41</v>
      </c>
      <c r="H855" t="s">
        <v>44</v>
      </c>
      <c r="I855">
        <v>9325</v>
      </c>
    </row>
    <row r="856" spans="1:9" x14ac:dyDescent="0.3">
      <c r="A856" t="s">
        <v>1141</v>
      </c>
      <c r="B856" t="s">
        <v>1140</v>
      </c>
      <c r="C856">
        <f t="shared" si="13"/>
        <v>45870</v>
      </c>
      <c r="D856">
        <v>5000</v>
      </c>
      <c r="E856" t="str">
        <f>INDEX(Accounts!$B$2:$B$9,MATCH(D856,Accounts!$A$2:$A$9,0))</f>
        <v>Cost of Goods Sold</v>
      </c>
      <c r="F856" t="str">
        <f>INDEX(Accounts!$C$2:$C$9,MATCH(D856,Accounts!$A$2:$A$9,0))</f>
        <v>COGS</v>
      </c>
      <c r="G856" t="s">
        <v>45</v>
      </c>
      <c r="H856" t="s">
        <v>42</v>
      </c>
      <c r="I856">
        <v>36948</v>
      </c>
    </row>
    <row r="857" spans="1:9" x14ac:dyDescent="0.3">
      <c r="A857" t="s">
        <v>1142</v>
      </c>
      <c r="B857" t="s">
        <v>1140</v>
      </c>
      <c r="C857">
        <f t="shared" si="13"/>
        <v>45870</v>
      </c>
      <c r="D857">
        <v>6100</v>
      </c>
      <c r="E857" t="str">
        <f>INDEX(Accounts!$B$2:$B$9,MATCH(D857,Accounts!$A$2:$A$9,0))</f>
        <v>Marketing Expense</v>
      </c>
      <c r="F857" t="str">
        <f>INDEX(Accounts!$C$2:$C$9,MATCH(D857,Accounts!$A$2:$A$9,0))</f>
        <v>Operating Expense</v>
      </c>
      <c r="G857" t="s">
        <v>45</v>
      </c>
      <c r="H857" t="s">
        <v>46</v>
      </c>
      <c r="I857">
        <v>14859</v>
      </c>
    </row>
    <row r="858" spans="1:9" x14ac:dyDescent="0.3">
      <c r="A858" t="s">
        <v>1143</v>
      </c>
      <c r="B858" t="s">
        <v>1140</v>
      </c>
      <c r="C858">
        <f t="shared" si="13"/>
        <v>45870</v>
      </c>
      <c r="D858">
        <v>6000</v>
      </c>
      <c r="E858" t="str">
        <f>INDEX(Accounts!$B$2:$B$9,MATCH(D858,Accounts!$A$2:$A$9,0))</f>
        <v>Salaries &amp; Wages</v>
      </c>
      <c r="F858" t="str">
        <f>INDEX(Accounts!$C$2:$C$9,MATCH(D858,Accounts!$A$2:$A$9,0))</f>
        <v>Operating Expense</v>
      </c>
      <c r="G858" t="s">
        <v>41</v>
      </c>
      <c r="H858" t="s">
        <v>42</v>
      </c>
      <c r="I858">
        <v>21309</v>
      </c>
    </row>
    <row r="859" spans="1:9" x14ac:dyDescent="0.3">
      <c r="A859" t="s">
        <v>1144</v>
      </c>
      <c r="B859" t="s">
        <v>1140</v>
      </c>
      <c r="C859">
        <f t="shared" si="13"/>
        <v>45870</v>
      </c>
      <c r="D859">
        <v>6100</v>
      </c>
      <c r="E859" t="str">
        <f>INDEX(Accounts!$B$2:$B$9,MATCH(D859,Accounts!$A$2:$A$9,0))</f>
        <v>Marketing Expense</v>
      </c>
      <c r="F859" t="str">
        <f>INDEX(Accounts!$C$2:$C$9,MATCH(D859,Accounts!$A$2:$A$9,0))</f>
        <v>Operating Expense</v>
      </c>
      <c r="G859" t="s">
        <v>48</v>
      </c>
      <c r="H859" t="s">
        <v>46</v>
      </c>
      <c r="I859">
        <v>5787</v>
      </c>
    </row>
    <row r="860" spans="1:9" x14ac:dyDescent="0.3">
      <c r="A860" t="s">
        <v>1145</v>
      </c>
      <c r="B860" t="s">
        <v>1146</v>
      </c>
      <c r="C860">
        <f t="shared" si="13"/>
        <v>45870</v>
      </c>
      <c r="D860">
        <v>6000</v>
      </c>
      <c r="E860" t="str">
        <f>INDEX(Accounts!$B$2:$B$9,MATCH(D860,Accounts!$A$2:$A$9,0))</f>
        <v>Salaries &amp; Wages</v>
      </c>
      <c r="F860" t="str">
        <f>INDEX(Accounts!$C$2:$C$9,MATCH(D860,Accounts!$A$2:$A$9,0))</f>
        <v>Operating Expense</v>
      </c>
      <c r="G860" t="s">
        <v>41</v>
      </c>
      <c r="H860" t="s">
        <v>42</v>
      </c>
      <c r="I860">
        <v>31188</v>
      </c>
    </row>
    <row r="861" spans="1:9" x14ac:dyDescent="0.3">
      <c r="A861" t="s">
        <v>1147</v>
      </c>
      <c r="B861" t="s">
        <v>1146</v>
      </c>
      <c r="C861">
        <f t="shared" si="13"/>
        <v>45870</v>
      </c>
      <c r="D861">
        <v>6300</v>
      </c>
      <c r="E861" t="str">
        <f>INDEX(Accounts!$B$2:$B$9,MATCH(D861,Accounts!$A$2:$A$9,0))</f>
        <v>Logistics Expense</v>
      </c>
      <c r="F861" t="str">
        <f>INDEX(Accounts!$C$2:$C$9,MATCH(D861,Accounts!$A$2:$A$9,0))</f>
        <v>Operating Expense</v>
      </c>
      <c r="G861" t="s">
        <v>48</v>
      </c>
      <c r="H861" t="s">
        <v>44</v>
      </c>
      <c r="I861">
        <v>12222</v>
      </c>
    </row>
    <row r="862" spans="1:9" x14ac:dyDescent="0.3">
      <c r="A862" t="s">
        <v>1148</v>
      </c>
      <c r="B862" t="s">
        <v>1146</v>
      </c>
      <c r="C862">
        <f t="shared" si="13"/>
        <v>45870</v>
      </c>
      <c r="D862">
        <v>4000</v>
      </c>
      <c r="E862" t="str">
        <f>INDEX(Accounts!$B$2:$B$9,MATCH(D862,Accounts!$A$2:$A$9,0))</f>
        <v>Product Sales</v>
      </c>
      <c r="F862" t="str">
        <f>INDEX(Accounts!$C$2:$C$9,MATCH(D862,Accounts!$A$2:$A$9,0))</f>
        <v>Revenue</v>
      </c>
      <c r="G862" t="s">
        <v>47</v>
      </c>
      <c r="H862" t="s">
        <v>42</v>
      </c>
      <c r="I862">
        <v>58922</v>
      </c>
    </row>
    <row r="863" spans="1:9" x14ac:dyDescent="0.3">
      <c r="A863" t="s">
        <v>1149</v>
      </c>
      <c r="B863" t="s">
        <v>1150</v>
      </c>
      <c r="C863">
        <f t="shared" si="13"/>
        <v>45870</v>
      </c>
      <c r="D863">
        <v>5000</v>
      </c>
      <c r="E863" t="str">
        <f>INDEX(Accounts!$B$2:$B$9,MATCH(D863,Accounts!$A$2:$A$9,0))</f>
        <v>Cost of Goods Sold</v>
      </c>
      <c r="F863" t="str">
        <f>INDEX(Accounts!$C$2:$C$9,MATCH(D863,Accounts!$A$2:$A$9,0))</f>
        <v>COGS</v>
      </c>
      <c r="G863" t="s">
        <v>43</v>
      </c>
      <c r="H863" t="s">
        <v>46</v>
      </c>
      <c r="I863">
        <v>25367</v>
      </c>
    </row>
    <row r="864" spans="1:9" x14ac:dyDescent="0.3">
      <c r="A864" t="s">
        <v>1151</v>
      </c>
      <c r="B864" t="s">
        <v>1150</v>
      </c>
      <c r="C864">
        <f t="shared" si="13"/>
        <v>45870</v>
      </c>
      <c r="D864">
        <v>6300</v>
      </c>
      <c r="E864" t="str">
        <f>INDEX(Accounts!$B$2:$B$9,MATCH(D864,Accounts!$A$2:$A$9,0))</f>
        <v>Logistics Expense</v>
      </c>
      <c r="F864" t="str">
        <f>INDEX(Accounts!$C$2:$C$9,MATCH(D864,Accounts!$A$2:$A$9,0))</f>
        <v>Operating Expense</v>
      </c>
      <c r="G864" t="s">
        <v>47</v>
      </c>
      <c r="H864" t="s">
        <v>44</v>
      </c>
      <c r="I864">
        <v>12322</v>
      </c>
    </row>
    <row r="865" spans="1:9" x14ac:dyDescent="0.3">
      <c r="A865" t="s">
        <v>1152</v>
      </c>
      <c r="B865" t="s">
        <v>1150</v>
      </c>
      <c r="C865">
        <f t="shared" si="13"/>
        <v>45870</v>
      </c>
      <c r="D865">
        <v>6300</v>
      </c>
      <c r="E865" t="str">
        <f>INDEX(Accounts!$B$2:$B$9,MATCH(D865,Accounts!$A$2:$A$9,0))</f>
        <v>Logistics Expense</v>
      </c>
      <c r="F865" t="str">
        <f>INDEX(Accounts!$C$2:$C$9,MATCH(D865,Accounts!$A$2:$A$9,0))</f>
        <v>Operating Expense</v>
      </c>
      <c r="G865" t="s">
        <v>43</v>
      </c>
      <c r="H865" t="s">
        <v>46</v>
      </c>
      <c r="I865">
        <v>6317</v>
      </c>
    </row>
    <row r="866" spans="1:9" x14ac:dyDescent="0.3">
      <c r="A866" t="s">
        <v>1153</v>
      </c>
      <c r="B866" t="s">
        <v>1154</v>
      </c>
      <c r="C866">
        <f t="shared" si="13"/>
        <v>45870</v>
      </c>
      <c r="D866">
        <v>6000</v>
      </c>
      <c r="E866" t="str">
        <f>INDEX(Accounts!$B$2:$B$9,MATCH(D866,Accounts!$A$2:$A$9,0))</f>
        <v>Salaries &amp; Wages</v>
      </c>
      <c r="F866" t="str">
        <f>INDEX(Accounts!$C$2:$C$9,MATCH(D866,Accounts!$A$2:$A$9,0))</f>
        <v>Operating Expense</v>
      </c>
      <c r="G866" t="s">
        <v>47</v>
      </c>
      <c r="H866" t="s">
        <v>44</v>
      </c>
      <c r="I866">
        <v>15477</v>
      </c>
    </row>
    <row r="867" spans="1:9" x14ac:dyDescent="0.3">
      <c r="A867" t="s">
        <v>1155</v>
      </c>
      <c r="B867" t="s">
        <v>1154</v>
      </c>
      <c r="C867">
        <f t="shared" si="13"/>
        <v>45870</v>
      </c>
      <c r="D867">
        <v>6000</v>
      </c>
      <c r="E867" t="str">
        <f>INDEX(Accounts!$B$2:$B$9,MATCH(D867,Accounts!$A$2:$A$9,0))</f>
        <v>Salaries &amp; Wages</v>
      </c>
      <c r="F867" t="str">
        <f>INDEX(Accounts!$C$2:$C$9,MATCH(D867,Accounts!$A$2:$A$9,0))</f>
        <v>Operating Expense</v>
      </c>
      <c r="G867" t="s">
        <v>41</v>
      </c>
      <c r="H867" t="s">
        <v>44</v>
      </c>
      <c r="I867">
        <v>6626</v>
      </c>
    </row>
    <row r="868" spans="1:9" x14ac:dyDescent="0.3">
      <c r="A868" t="s">
        <v>1156</v>
      </c>
      <c r="B868" t="s">
        <v>1157</v>
      </c>
      <c r="C868">
        <f t="shared" si="13"/>
        <v>45870</v>
      </c>
      <c r="D868">
        <v>4000</v>
      </c>
      <c r="E868" t="str">
        <f>INDEX(Accounts!$B$2:$B$9,MATCH(D868,Accounts!$A$2:$A$9,0))</f>
        <v>Product Sales</v>
      </c>
      <c r="F868" t="str">
        <f>INDEX(Accounts!$C$2:$C$9,MATCH(D868,Accounts!$A$2:$A$9,0))</f>
        <v>Revenue</v>
      </c>
      <c r="G868" t="s">
        <v>41</v>
      </c>
      <c r="H868" t="s">
        <v>44</v>
      </c>
      <c r="I868">
        <v>52453</v>
      </c>
    </row>
    <row r="869" spans="1:9" x14ac:dyDescent="0.3">
      <c r="A869" t="s">
        <v>1158</v>
      </c>
      <c r="B869" t="s">
        <v>1157</v>
      </c>
      <c r="C869">
        <f t="shared" si="13"/>
        <v>45870</v>
      </c>
      <c r="D869">
        <v>6100</v>
      </c>
      <c r="E869" t="str">
        <f>INDEX(Accounts!$B$2:$B$9,MATCH(D869,Accounts!$A$2:$A$9,0))</f>
        <v>Marketing Expense</v>
      </c>
      <c r="F869" t="str">
        <f>INDEX(Accounts!$C$2:$C$9,MATCH(D869,Accounts!$A$2:$A$9,0))</f>
        <v>Operating Expense</v>
      </c>
      <c r="G869" t="s">
        <v>41</v>
      </c>
      <c r="H869" t="s">
        <v>42</v>
      </c>
      <c r="I869">
        <v>4201</v>
      </c>
    </row>
    <row r="870" spans="1:9" x14ac:dyDescent="0.3">
      <c r="A870" t="s">
        <v>1159</v>
      </c>
      <c r="B870" t="s">
        <v>1157</v>
      </c>
      <c r="C870">
        <f t="shared" si="13"/>
        <v>45870</v>
      </c>
      <c r="D870">
        <v>4000</v>
      </c>
      <c r="E870" t="str">
        <f>INDEX(Accounts!$B$2:$B$9,MATCH(D870,Accounts!$A$2:$A$9,0))</f>
        <v>Product Sales</v>
      </c>
      <c r="F870" t="str">
        <f>INDEX(Accounts!$C$2:$C$9,MATCH(D870,Accounts!$A$2:$A$9,0))</f>
        <v>Revenue</v>
      </c>
      <c r="G870" t="s">
        <v>45</v>
      </c>
      <c r="H870" t="s">
        <v>46</v>
      </c>
      <c r="I870">
        <v>72483</v>
      </c>
    </row>
    <row r="871" spans="1:9" x14ac:dyDescent="0.3">
      <c r="A871" t="s">
        <v>1160</v>
      </c>
      <c r="B871" t="s">
        <v>1161</v>
      </c>
      <c r="C871">
        <f t="shared" si="13"/>
        <v>45870</v>
      </c>
      <c r="D871">
        <v>4000</v>
      </c>
      <c r="E871" t="str">
        <f>INDEX(Accounts!$B$2:$B$9,MATCH(D871,Accounts!$A$2:$A$9,0))</f>
        <v>Product Sales</v>
      </c>
      <c r="F871" t="str">
        <f>INDEX(Accounts!$C$2:$C$9,MATCH(D871,Accounts!$A$2:$A$9,0))</f>
        <v>Revenue</v>
      </c>
      <c r="G871" t="s">
        <v>41</v>
      </c>
      <c r="H871" t="s">
        <v>44</v>
      </c>
      <c r="I871">
        <v>34103</v>
      </c>
    </row>
    <row r="872" spans="1:9" x14ac:dyDescent="0.3">
      <c r="A872" t="s">
        <v>1162</v>
      </c>
      <c r="B872" t="s">
        <v>1161</v>
      </c>
      <c r="C872">
        <f t="shared" si="13"/>
        <v>45870</v>
      </c>
      <c r="D872">
        <v>6000</v>
      </c>
      <c r="E872" t="str">
        <f>INDEX(Accounts!$B$2:$B$9,MATCH(D872,Accounts!$A$2:$A$9,0))</f>
        <v>Salaries &amp; Wages</v>
      </c>
      <c r="F872" t="str">
        <f>INDEX(Accounts!$C$2:$C$9,MATCH(D872,Accounts!$A$2:$A$9,0))</f>
        <v>Operating Expense</v>
      </c>
      <c r="G872" t="s">
        <v>41</v>
      </c>
      <c r="H872" t="s">
        <v>42</v>
      </c>
      <c r="I872">
        <v>32426</v>
      </c>
    </row>
    <row r="873" spans="1:9" x14ac:dyDescent="0.3">
      <c r="A873" t="s">
        <v>1163</v>
      </c>
      <c r="B873" t="s">
        <v>1161</v>
      </c>
      <c r="C873">
        <f t="shared" si="13"/>
        <v>45870</v>
      </c>
      <c r="D873">
        <v>5000</v>
      </c>
      <c r="E873" t="str">
        <f>INDEX(Accounts!$B$2:$B$9,MATCH(D873,Accounts!$A$2:$A$9,0))</f>
        <v>Cost of Goods Sold</v>
      </c>
      <c r="F873" t="str">
        <f>INDEX(Accounts!$C$2:$C$9,MATCH(D873,Accounts!$A$2:$A$9,0))</f>
        <v>COGS</v>
      </c>
      <c r="G873" t="s">
        <v>45</v>
      </c>
      <c r="H873" t="s">
        <v>42</v>
      </c>
      <c r="I873">
        <v>67434</v>
      </c>
    </row>
    <row r="874" spans="1:9" x14ac:dyDescent="0.3">
      <c r="A874" t="s">
        <v>1164</v>
      </c>
      <c r="B874" t="s">
        <v>1161</v>
      </c>
      <c r="C874">
        <f t="shared" si="13"/>
        <v>45870</v>
      </c>
      <c r="D874">
        <v>6000</v>
      </c>
      <c r="E874" t="str">
        <f>INDEX(Accounts!$B$2:$B$9,MATCH(D874,Accounts!$A$2:$A$9,0))</f>
        <v>Salaries &amp; Wages</v>
      </c>
      <c r="F874" t="str">
        <f>INDEX(Accounts!$C$2:$C$9,MATCH(D874,Accounts!$A$2:$A$9,0))</f>
        <v>Operating Expense</v>
      </c>
      <c r="G874" t="s">
        <v>45</v>
      </c>
      <c r="H874" t="s">
        <v>46</v>
      </c>
      <c r="I874">
        <v>6592</v>
      </c>
    </row>
    <row r="875" spans="1:9" x14ac:dyDescent="0.3">
      <c r="A875" t="s">
        <v>1165</v>
      </c>
      <c r="B875" t="s">
        <v>1166</v>
      </c>
      <c r="C875">
        <f t="shared" si="13"/>
        <v>45870</v>
      </c>
      <c r="D875">
        <v>6100</v>
      </c>
      <c r="E875" t="str">
        <f>INDEX(Accounts!$B$2:$B$9,MATCH(D875,Accounts!$A$2:$A$9,0))</f>
        <v>Marketing Expense</v>
      </c>
      <c r="F875" t="str">
        <f>INDEX(Accounts!$C$2:$C$9,MATCH(D875,Accounts!$A$2:$A$9,0))</f>
        <v>Operating Expense</v>
      </c>
      <c r="G875" t="s">
        <v>47</v>
      </c>
      <c r="H875" t="s">
        <v>42</v>
      </c>
      <c r="I875">
        <v>8358</v>
      </c>
    </row>
    <row r="876" spans="1:9" x14ac:dyDescent="0.3">
      <c r="A876" t="s">
        <v>1167</v>
      </c>
      <c r="B876" t="s">
        <v>1166</v>
      </c>
      <c r="C876">
        <f t="shared" si="13"/>
        <v>45870</v>
      </c>
      <c r="D876">
        <v>4000</v>
      </c>
      <c r="E876" t="str">
        <f>INDEX(Accounts!$B$2:$B$9,MATCH(D876,Accounts!$A$2:$A$9,0))</f>
        <v>Product Sales</v>
      </c>
      <c r="F876" t="str">
        <f>INDEX(Accounts!$C$2:$C$9,MATCH(D876,Accounts!$A$2:$A$9,0))</f>
        <v>Revenue</v>
      </c>
      <c r="G876" t="s">
        <v>41</v>
      </c>
      <c r="H876" t="s">
        <v>44</v>
      </c>
      <c r="I876">
        <v>153132</v>
      </c>
    </row>
    <row r="877" spans="1:9" x14ac:dyDescent="0.3">
      <c r="A877" t="s">
        <v>1168</v>
      </c>
      <c r="B877" t="s">
        <v>1166</v>
      </c>
      <c r="C877">
        <f t="shared" si="13"/>
        <v>45870</v>
      </c>
      <c r="D877">
        <v>6200</v>
      </c>
      <c r="E877" t="str">
        <f>INDEX(Accounts!$B$2:$B$9,MATCH(D877,Accounts!$A$2:$A$9,0))</f>
        <v>Rent &amp; Utilities</v>
      </c>
      <c r="F877" t="str">
        <f>INDEX(Accounts!$C$2:$C$9,MATCH(D877,Accounts!$A$2:$A$9,0))</f>
        <v>Operating Expense</v>
      </c>
      <c r="G877" t="s">
        <v>41</v>
      </c>
      <c r="H877" t="s">
        <v>42</v>
      </c>
      <c r="I877">
        <v>14913</v>
      </c>
    </row>
    <row r="878" spans="1:9" x14ac:dyDescent="0.3">
      <c r="A878" t="s">
        <v>1169</v>
      </c>
      <c r="B878" t="s">
        <v>1170</v>
      </c>
      <c r="C878">
        <f t="shared" si="13"/>
        <v>45870</v>
      </c>
      <c r="D878">
        <v>6000</v>
      </c>
      <c r="E878" t="str">
        <f>INDEX(Accounts!$B$2:$B$9,MATCH(D878,Accounts!$A$2:$A$9,0))</f>
        <v>Salaries &amp; Wages</v>
      </c>
      <c r="F878" t="str">
        <f>INDEX(Accounts!$C$2:$C$9,MATCH(D878,Accounts!$A$2:$A$9,0))</f>
        <v>Operating Expense</v>
      </c>
      <c r="G878" t="s">
        <v>47</v>
      </c>
      <c r="H878" t="s">
        <v>44</v>
      </c>
      <c r="I878">
        <v>23766</v>
      </c>
    </row>
    <row r="879" spans="1:9" x14ac:dyDescent="0.3">
      <c r="A879" t="s">
        <v>1171</v>
      </c>
      <c r="B879" t="s">
        <v>1170</v>
      </c>
      <c r="C879">
        <f t="shared" si="13"/>
        <v>45870</v>
      </c>
      <c r="D879">
        <v>6400</v>
      </c>
      <c r="E879" t="str">
        <f>INDEX(Accounts!$B$2:$B$9,MATCH(D879,Accounts!$A$2:$A$9,0))</f>
        <v>Software &amp; Admin</v>
      </c>
      <c r="F879" t="str">
        <f>INDEX(Accounts!$C$2:$C$9,MATCH(D879,Accounts!$A$2:$A$9,0))</f>
        <v>Operating Expense</v>
      </c>
      <c r="G879" t="s">
        <v>48</v>
      </c>
      <c r="H879" t="s">
        <v>42</v>
      </c>
      <c r="I879">
        <v>3067</v>
      </c>
    </row>
    <row r="880" spans="1:9" x14ac:dyDescent="0.3">
      <c r="A880" t="s">
        <v>1172</v>
      </c>
      <c r="B880" t="s">
        <v>1170</v>
      </c>
      <c r="C880">
        <f t="shared" si="13"/>
        <v>45870</v>
      </c>
      <c r="D880">
        <v>4000</v>
      </c>
      <c r="E880" t="str">
        <f>INDEX(Accounts!$B$2:$B$9,MATCH(D880,Accounts!$A$2:$A$9,0))</f>
        <v>Product Sales</v>
      </c>
      <c r="F880" t="str">
        <f>INDEX(Accounts!$C$2:$C$9,MATCH(D880,Accounts!$A$2:$A$9,0))</f>
        <v>Revenue</v>
      </c>
      <c r="G880" t="s">
        <v>43</v>
      </c>
      <c r="H880" t="s">
        <v>46</v>
      </c>
      <c r="I880">
        <v>74958</v>
      </c>
    </row>
    <row r="881" spans="1:9" x14ac:dyDescent="0.3">
      <c r="A881" t="s">
        <v>1173</v>
      </c>
      <c r="B881" t="s">
        <v>1170</v>
      </c>
      <c r="C881">
        <f t="shared" si="13"/>
        <v>45870</v>
      </c>
      <c r="D881">
        <v>4100</v>
      </c>
      <c r="E881" t="str">
        <f>INDEX(Accounts!$B$2:$B$9,MATCH(D881,Accounts!$A$2:$A$9,0))</f>
        <v>Sales Returns &amp; Discounts</v>
      </c>
      <c r="F881" t="str">
        <f>INDEX(Accounts!$C$2:$C$9,MATCH(D881,Accounts!$A$2:$A$9,0))</f>
        <v>Contra Revenue</v>
      </c>
      <c r="G881" t="s">
        <v>45</v>
      </c>
      <c r="H881" t="s">
        <v>46</v>
      </c>
      <c r="I881">
        <v>9587</v>
      </c>
    </row>
    <row r="882" spans="1:9" x14ac:dyDescent="0.3">
      <c r="A882" t="s">
        <v>1174</v>
      </c>
      <c r="B882" t="s">
        <v>1175</v>
      </c>
      <c r="C882">
        <f t="shared" si="13"/>
        <v>45901</v>
      </c>
      <c r="D882">
        <v>5000</v>
      </c>
      <c r="E882" t="str">
        <f>INDEX(Accounts!$B$2:$B$9,MATCH(D882,Accounts!$A$2:$A$9,0))</f>
        <v>Cost of Goods Sold</v>
      </c>
      <c r="F882" t="str">
        <f>INDEX(Accounts!$C$2:$C$9,MATCH(D882,Accounts!$A$2:$A$9,0))</f>
        <v>COGS</v>
      </c>
      <c r="G882" t="s">
        <v>47</v>
      </c>
      <c r="H882" t="s">
        <v>44</v>
      </c>
      <c r="I882">
        <v>43893</v>
      </c>
    </row>
    <row r="883" spans="1:9" x14ac:dyDescent="0.3">
      <c r="A883" t="s">
        <v>1176</v>
      </c>
      <c r="B883" t="s">
        <v>1175</v>
      </c>
      <c r="C883">
        <f t="shared" si="13"/>
        <v>45901</v>
      </c>
      <c r="D883">
        <v>6100</v>
      </c>
      <c r="E883" t="str">
        <f>INDEX(Accounts!$B$2:$B$9,MATCH(D883,Accounts!$A$2:$A$9,0))</f>
        <v>Marketing Expense</v>
      </c>
      <c r="F883" t="str">
        <f>INDEX(Accounts!$C$2:$C$9,MATCH(D883,Accounts!$A$2:$A$9,0))</f>
        <v>Operating Expense</v>
      </c>
      <c r="G883" t="s">
        <v>41</v>
      </c>
      <c r="H883" t="s">
        <v>44</v>
      </c>
      <c r="I883">
        <v>15598</v>
      </c>
    </row>
    <row r="884" spans="1:9" x14ac:dyDescent="0.3">
      <c r="A884" t="s">
        <v>1177</v>
      </c>
      <c r="B884" t="s">
        <v>1175</v>
      </c>
      <c r="C884">
        <f t="shared" si="13"/>
        <v>45901</v>
      </c>
      <c r="D884">
        <v>6000</v>
      </c>
      <c r="E884" t="str">
        <f>INDEX(Accounts!$B$2:$B$9,MATCH(D884,Accounts!$A$2:$A$9,0))</f>
        <v>Salaries &amp; Wages</v>
      </c>
      <c r="F884" t="str">
        <f>INDEX(Accounts!$C$2:$C$9,MATCH(D884,Accounts!$A$2:$A$9,0))</f>
        <v>Operating Expense</v>
      </c>
      <c r="G884" t="s">
        <v>41</v>
      </c>
      <c r="H884" t="s">
        <v>46</v>
      </c>
      <c r="I884">
        <v>30348</v>
      </c>
    </row>
    <row r="885" spans="1:9" x14ac:dyDescent="0.3">
      <c r="A885" t="s">
        <v>1178</v>
      </c>
      <c r="B885" t="s">
        <v>1175</v>
      </c>
      <c r="C885">
        <f t="shared" si="13"/>
        <v>45901</v>
      </c>
      <c r="D885">
        <v>5000</v>
      </c>
      <c r="E885" t="str">
        <f>INDEX(Accounts!$B$2:$B$9,MATCH(D885,Accounts!$A$2:$A$9,0))</f>
        <v>Cost of Goods Sold</v>
      </c>
      <c r="F885" t="str">
        <f>INDEX(Accounts!$C$2:$C$9,MATCH(D885,Accounts!$A$2:$A$9,0))</f>
        <v>COGS</v>
      </c>
      <c r="G885" t="s">
        <v>43</v>
      </c>
      <c r="H885" t="s">
        <v>42</v>
      </c>
      <c r="I885">
        <v>12800</v>
      </c>
    </row>
    <row r="886" spans="1:9" x14ac:dyDescent="0.3">
      <c r="A886" t="s">
        <v>1179</v>
      </c>
      <c r="B886" t="s">
        <v>1175</v>
      </c>
      <c r="C886">
        <f t="shared" si="13"/>
        <v>45901</v>
      </c>
      <c r="D886">
        <v>6000</v>
      </c>
      <c r="E886" t="str">
        <f>INDEX(Accounts!$B$2:$B$9,MATCH(D886,Accounts!$A$2:$A$9,0))</f>
        <v>Salaries &amp; Wages</v>
      </c>
      <c r="F886" t="str">
        <f>INDEX(Accounts!$C$2:$C$9,MATCH(D886,Accounts!$A$2:$A$9,0))</f>
        <v>Operating Expense</v>
      </c>
      <c r="G886" t="s">
        <v>43</v>
      </c>
      <c r="H886" t="s">
        <v>42</v>
      </c>
      <c r="I886">
        <v>6368</v>
      </c>
    </row>
    <row r="887" spans="1:9" x14ac:dyDescent="0.3">
      <c r="A887" t="s">
        <v>1180</v>
      </c>
      <c r="B887" t="s">
        <v>1175</v>
      </c>
      <c r="C887">
        <f t="shared" si="13"/>
        <v>45901</v>
      </c>
      <c r="D887">
        <v>6000</v>
      </c>
      <c r="E887" t="str">
        <f>INDEX(Accounts!$B$2:$B$9,MATCH(D887,Accounts!$A$2:$A$9,0))</f>
        <v>Salaries &amp; Wages</v>
      </c>
      <c r="F887" t="str">
        <f>INDEX(Accounts!$C$2:$C$9,MATCH(D887,Accounts!$A$2:$A$9,0))</f>
        <v>Operating Expense</v>
      </c>
      <c r="G887" t="s">
        <v>43</v>
      </c>
      <c r="H887" t="s">
        <v>46</v>
      </c>
      <c r="I887">
        <v>7789</v>
      </c>
    </row>
    <row r="888" spans="1:9" x14ac:dyDescent="0.3">
      <c r="A888" t="s">
        <v>1181</v>
      </c>
      <c r="B888" t="s">
        <v>1182</v>
      </c>
      <c r="C888">
        <f t="shared" si="13"/>
        <v>45901</v>
      </c>
      <c r="D888">
        <v>6400</v>
      </c>
      <c r="E888" t="str">
        <f>INDEX(Accounts!$B$2:$B$9,MATCH(D888,Accounts!$A$2:$A$9,0))</f>
        <v>Software &amp; Admin</v>
      </c>
      <c r="F888" t="str">
        <f>INDEX(Accounts!$C$2:$C$9,MATCH(D888,Accounts!$A$2:$A$9,0))</f>
        <v>Operating Expense</v>
      </c>
      <c r="G888" t="s">
        <v>47</v>
      </c>
      <c r="H888" t="s">
        <v>42</v>
      </c>
      <c r="I888">
        <v>7816</v>
      </c>
    </row>
    <row r="889" spans="1:9" x14ac:dyDescent="0.3">
      <c r="A889" t="s">
        <v>1183</v>
      </c>
      <c r="B889" t="s">
        <v>1182</v>
      </c>
      <c r="C889">
        <f t="shared" si="13"/>
        <v>45901</v>
      </c>
      <c r="D889">
        <v>6000</v>
      </c>
      <c r="E889" t="str">
        <f>INDEX(Accounts!$B$2:$B$9,MATCH(D889,Accounts!$A$2:$A$9,0))</f>
        <v>Salaries &amp; Wages</v>
      </c>
      <c r="F889" t="str">
        <f>INDEX(Accounts!$C$2:$C$9,MATCH(D889,Accounts!$A$2:$A$9,0))</f>
        <v>Operating Expense</v>
      </c>
      <c r="G889" t="s">
        <v>41</v>
      </c>
      <c r="H889" t="s">
        <v>42</v>
      </c>
      <c r="I889">
        <v>30945</v>
      </c>
    </row>
    <row r="890" spans="1:9" x14ac:dyDescent="0.3">
      <c r="A890" t="s">
        <v>1184</v>
      </c>
      <c r="B890" t="s">
        <v>1182</v>
      </c>
      <c r="C890">
        <f t="shared" si="13"/>
        <v>45901</v>
      </c>
      <c r="D890">
        <v>6200</v>
      </c>
      <c r="E890" t="str">
        <f>INDEX(Accounts!$B$2:$B$9,MATCH(D890,Accounts!$A$2:$A$9,0))</f>
        <v>Rent &amp; Utilities</v>
      </c>
      <c r="F890" t="str">
        <f>INDEX(Accounts!$C$2:$C$9,MATCH(D890,Accounts!$A$2:$A$9,0))</f>
        <v>Operating Expense</v>
      </c>
      <c r="G890" t="s">
        <v>47</v>
      </c>
      <c r="H890" t="s">
        <v>44</v>
      </c>
      <c r="I890">
        <v>12177</v>
      </c>
    </row>
    <row r="891" spans="1:9" x14ac:dyDescent="0.3">
      <c r="A891" t="s">
        <v>1185</v>
      </c>
      <c r="B891" t="s">
        <v>1182</v>
      </c>
      <c r="C891">
        <f t="shared" si="13"/>
        <v>45901</v>
      </c>
      <c r="D891">
        <v>5000</v>
      </c>
      <c r="E891" t="str">
        <f>INDEX(Accounts!$B$2:$B$9,MATCH(D891,Accounts!$A$2:$A$9,0))</f>
        <v>Cost of Goods Sold</v>
      </c>
      <c r="F891" t="str">
        <f>INDEX(Accounts!$C$2:$C$9,MATCH(D891,Accounts!$A$2:$A$9,0))</f>
        <v>COGS</v>
      </c>
      <c r="G891" t="s">
        <v>43</v>
      </c>
      <c r="H891" t="s">
        <v>42</v>
      </c>
      <c r="I891">
        <v>18546</v>
      </c>
    </row>
    <row r="892" spans="1:9" x14ac:dyDescent="0.3">
      <c r="A892" t="s">
        <v>1186</v>
      </c>
      <c r="B892" t="s">
        <v>1182</v>
      </c>
      <c r="C892">
        <f t="shared" si="13"/>
        <v>45901</v>
      </c>
      <c r="D892">
        <v>4100</v>
      </c>
      <c r="E892" t="str">
        <f>INDEX(Accounts!$B$2:$B$9,MATCH(D892,Accounts!$A$2:$A$9,0))</f>
        <v>Sales Returns &amp; Discounts</v>
      </c>
      <c r="F892" t="str">
        <f>INDEX(Accounts!$C$2:$C$9,MATCH(D892,Accounts!$A$2:$A$9,0))</f>
        <v>Contra Revenue</v>
      </c>
      <c r="G892" t="s">
        <v>45</v>
      </c>
      <c r="H892" t="s">
        <v>44</v>
      </c>
      <c r="I892">
        <v>9419</v>
      </c>
    </row>
    <row r="893" spans="1:9" x14ac:dyDescent="0.3">
      <c r="A893" t="s">
        <v>1187</v>
      </c>
      <c r="B893" t="s">
        <v>1182</v>
      </c>
      <c r="C893">
        <f t="shared" si="13"/>
        <v>45901</v>
      </c>
      <c r="D893">
        <v>4000</v>
      </c>
      <c r="E893" t="str">
        <f>INDEX(Accounts!$B$2:$B$9,MATCH(D893,Accounts!$A$2:$A$9,0))</f>
        <v>Product Sales</v>
      </c>
      <c r="F893" t="str">
        <f>INDEX(Accounts!$C$2:$C$9,MATCH(D893,Accounts!$A$2:$A$9,0))</f>
        <v>Revenue</v>
      </c>
      <c r="G893" t="s">
        <v>41</v>
      </c>
      <c r="H893" t="s">
        <v>42</v>
      </c>
      <c r="I893">
        <v>175722</v>
      </c>
    </row>
    <row r="894" spans="1:9" x14ac:dyDescent="0.3">
      <c r="A894" t="s">
        <v>1188</v>
      </c>
      <c r="B894" t="s">
        <v>1189</v>
      </c>
      <c r="C894">
        <f t="shared" si="13"/>
        <v>45901</v>
      </c>
      <c r="D894">
        <v>4000</v>
      </c>
      <c r="E894" t="str">
        <f>INDEX(Accounts!$B$2:$B$9,MATCH(D894,Accounts!$A$2:$A$9,0))</f>
        <v>Product Sales</v>
      </c>
      <c r="F894" t="str">
        <f>INDEX(Accounts!$C$2:$C$9,MATCH(D894,Accounts!$A$2:$A$9,0))</f>
        <v>Revenue</v>
      </c>
      <c r="G894" t="s">
        <v>41</v>
      </c>
      <c r="H894" t="s">
        <v>46</v>
      </c>
      <c r="I894">
        <v>162577</v>
      </c>
    </row>
    <row r="895" spans="1:9" x14ac:dyDescent="0.3">
      <c r="A895" t="s">
        <v>1190</v>
      </c>
      <c r="B895" t="s">
        <v>1189</v>
      </c>
      <c r="C895">
        <f t="shared" si="13"/>
        <v>45901</v>
      </c>
      <c r="D895">
        <v>5000</v>
      </c>
      <c r="E895" t="str">
        <f>INDEX(Accounts!$B$2:$B$9,MATCH(D895,Accounts!$A$2:$A$9,0))</f>
        <v>Cost of Goods Sold</v>
      </c>
      <c r="F895" t="str">
        <f>INDEX(Accounts!$C$2:$C$9,MATCH(D895,Accounts!$A$2:$A$9,0))</f>
        <v>COGS</v>
      </c>
      <c r="G895" t="s">
        <v>47</v>
      </c>
      <c r="H895" t="s">
        <v>46</v>
      </c>
      <c r="I895">
        <v>29750</v>
      </c>
    </row>
    <row r="896" spans="1:9" x14ac:dyDescent="0.3">
      <c r="A896" t="s">
        <v>1191</v>
      </c>
      <c r="B896" t="s">
        <v>1189</v>
      </c>
      <c r="C896">
        <f t="shared" si="13"/>
        <v>45901</v>
      </c>
      <c r="D896">
        <v>6400</v>
      </c>
      <c r="E896" t="str">
        <f>INDEX(Accounts!$B$2:$B$9,MATCH(D896,Accounts!$A$2:$A$9,0))</f>
        <v>Software &amp; Admin</v>
      </c>
      <c r="F896" t="str">
        <f>INDEX(Accounts!$C$2:$C$9,MATCH(D896,Accounts!$A$2:$A$9,0))</f>
        <v>Operating Expense</v>
      </c>
      <c r="G896" t="s">
        <v>41</v>
      </c>
      <c r="H896" t="s">
        <v>46</v>
      </c>
      <c r="I896">
        <v>9736</v>
      </c>
    </row>
    <row r="897" spans="1:9" x14ac:dyDescent="0.3">
      <c r="A897" t="s">
        <v>1192</v>
      </c>
      <c r="B897" t="s">
        <v>1193</v>
      </c>
      <c r="C897">
        <f t="shared" si="13"/>
        <v>45901</v>
      </c>
      <c r="D897">
        <v>6200</v>
      </c>
      <c r="E897" t="str">
        <f>INDEX(Accounts!$B$2:$B$9,MATCH(D897,Accounts!$A$2:$A$9,0))</f>
        <v>Rent &amp; Utilities</v>
      </c>
      <c r="F897" t="str">
        <f>INDEX(Accounts!$C$2:$C$9,MATCH(D897,Accounts!$A$2:$A$9,0))</f>
        <v>Operating Expense</v>
      </c>
      <c r="G897" t="s">
        <v>47</v>
      </c>
      <c r="H897" t="s">
        <v>44</v>
      </c>
      <c r="I897">
        <v>8901</v>
      </c>
    </row>
    <row r="898" spans="1:9" x14ac:dyDescent="0.3">
      <c r="A898" t="s">
        <v>1194</v>
      </c>
      <c r="B898" t="s">
        <v>1193</v>
      </c>
      <c r="C898">
        <f t="shared" ref="C898:C961" si="14">DATE(YEAR(B898),MONTH(B898),1)</f>
        <v>45901</v>
      </c>
      <c r="D898">
        <v>5000</v>
      </c>
      <c r="E898" t="str">
        <f>INDEX(Accounts!$B$2:$B$9,MATCH(D898,Accounts!$A$2:$A$9,0))</f>
        <v>Cost of Goods Sold</v>
      </c>
      <c r="F898" t="str">
        <f>INDEX(Accounts!$C$2:$C$9,MATCH(D898,Accounts!$A$2:$A$9,0))</f>
        <v>COGS</v>
      </c>
      <c r="G898" t="s">
        <v>48</v>
      </c>
      <c r="H898" t="s">
        <v>44</v>
      </c>
      <c r="I898">
        <v>62768</v>
      </c>
    </row>
    <row r="899" spans="1:9" x14ac:dyDescent="0.3">
      <c r="A899" t="s">
        <v>1195</v>
      </c>
      <c r="B899" t="s">
        <v>1193</v>
      </c>
      <c r="C899">
        <f t="shared" si="14"/>
        <v>45901</v>
      </c>
      <c r="D899">
        <v>6100</v>
      </c>
      <c r="E899" t="str">
        <f>INDEX(Accounts!$B$2:$B$9,MATCH(D899,Accounts!$A$2:$A$9,0))</f>
        <v>Marketing Expense</v>
      </c>
      <c r="F899" t="str">
        <f>INDEX(Accounts!$C$2:$C$9,MATCH(D899,Accounts!$A$2:$A$9,0))</f>
        <v>Operating Expense</v>
      </c>
      <c r="G899" t="s">
        <v>43</v>
      </c>
      <c r="H899" t="s">
        <v>46</v>
      </c>
      <c r="I899">
        <v>11655</v>
      </c>
    </row>
    <row r="900" spans="1:9" x14ac:dyDescent="0.3">
      <c r="A900" t="s">
        <v>1196</v>
      </c>
      <c r="B900" t="s">
        <v>1193</v>
      </c>
      <c r="C900">
        <f t="shared" si="14"/>
        <v>45901</v>
      </c>
      <c r="D900">
        <v>6000</v>
      </c>
      <c r="E900" t="str">
        <f>INDEX(Accounts!$B$2:$B$9,MATCH(D900,Accounts!$A$2:$A$9,0))</f>
        <v>Salaries &amp; Wages</v>
      </c>
      <c r="F900" t="str">
        <f>INDEX(Accounts!$C$2:$C$9,MATCH(D900,Accounts!$A$2:$A$9,0))</f>
        <v>Operating Expense</v>
      </c>
      <c r="G900" t="s">
        <v>43</v>
      </c>
      <c r="H900" t="s">
        <v>46</v>
      </c>
      <c r="I900">
        <v>25109</v>
      </c>
    </row>
    <row r="901" spans="1:9" x14ac:dyDescent="0.3">
      <c r="A901" t="s">
        <v>1197</v>
      </c>
      <c r="B901" t="s">
        <v>1193</v>
      </c>
      <c r="C901">
        <f t="shared" si="14"/>
        <v>45901</v>
      </c>
      <c r="D901">
        <v>6000</v>
      </c>
      <c r="E901" t="str">
        <f>INDEX(Accounts!$B$2:$B$9,MATCH(D901,Accounts!$A$2:$A$9,0))</f>
        <v>Salaries &amp; Wages</v>
      </c>
      <c r="F901" t="str">
        <f>INDEX(Accounts!$C$2:$C$9,MATCH(D901,Accounts!$A$2:$A$9,0))</f>
        <v>Operating Expense</v>
      </c>
      <c r="G901" t="s">
        <v>45</v>
      </c>
      <c r="H901" t="s">
        <v>46</v>
      </c>
      <c r="I901">
        <v>7072</v>
      </c>
    </row>
    <row r="902" spans="1:9" x14ac:dyDescent="0.3">
      <c r="A902" t="s">
        <v>1198</v>
      </c>
      <c r="B902" t="s">
        <v>1193</v>
      </c>
      <c r="C902">
        <f t="shared" si="14"/>
        <v>45901</v>
      </c>
      <c r="D902">
        <v>4000</v>
      </c>
      <c r="E902" t="str">
        <f>INDEX(Accounts!$B$2:$B$9,MATCH(D902,Accounts!$A$2:$A$9,0))</f>
        <v>Product Sales</v>
      </c>
      <c r="F902" t="str">
        <f>INDEX(Accounts!$C$2:$C$9,MATCH(D902,Accounts!$A$2:$A$9,0))</f>
        <v>Revenue</v>
      </c>
      <c r="G902" t="s">
        <v>47</v>
      </c>
      <c r="H902" t="s">
        <v>42</v>
      </c>
      <c r="I902">
        <v>168878</v>
      </c>
    </row>
    <row r="903" spans="1:9" x14ac:dyDescent="0.3">
      <c r="A903" t="s">
        <v>1199</v>
      </c>
      <c r="B903" t="s">
        <v>1200</v>
      </c>
      <c r="C903">
        <f t="shared" si="14"/>
        <v>45901</v>
      </c>
      <c r="D903">
        <v>6200</v>
      </c>
      <c r="E903" t="str">
        <f>INDEX(Accounts!$B$2:$B$9,MATCH(D903,Accounts!$A$2:$A$9,0))</f>
        <v>Rent &amp; Utilities</v>
      </c>
      <c r="F903" t="str">
        <f>INDEX(Accounts!$C$2:$C$9,MATCH(D903,Accounts!$A$2:$A$9,0))</f>
        <v>Operating Expense</v>
      </c>
      <c r="G903" t="s">
        <v>45</v>
      </c>
      <c r="H903" t="s">
        <v>44</v>
      </c>
      <c r="I903">
        <v>4752</v>
      </c>
    </row>
    <row r="904" spans="1:9" x14ac:dyDescent="0.3">
      <c r="A904" t="s">
        <v>1201</v>
      </c>
      <c r="B904" t="s">
        <v>1200</v>
      </c>
      <c r="C904">
        <f t="shared" si="14"/>
        <v>45901</v>
      </c>
      <c r="D904">
        <v>6200</v>
      </c>
      <c r="E904" t="str">
        <f>INDEX(Accounts!$B$2:$B$9,MATCH(D904,Accounts!$A$2:$A$9,0))</f>
        <v>Rent &amp; Utilities</v>
      </c>
      <c r="F904" t="str">
        <f>INDEX(Accounts!$C$2:$C$9,MATCH(D904,Accounts!$A$2:$A$9,0))</f>
        <v>Operating Expense</v>
      </c>
      <c r="G904" t="s">
        <v>45</v>
      </c>
      <c r="H904" t="s">
        <v>44</v>
      </c>
      <c r="I904">
        <v>6342</v>
      </c>
    </row>
    <row r="905" spans="1:9" x14ac:dyDescent="0.3">
      <c r="A905" t="s">
        <v>1202</v>
      </c>
      <c r="B905" t="s">
        <v>1203</v>
      </c>
      <c r="C905">
        <f t="shared" si="14"/>
        <v>45901</v>
      </c>
      <c r="D905">
        <v>6000</v>
      </c>
      <c r="E905" t="str">
        <f>INDEX(Accounts!$B$2:$B$9,MATCH(D905,Accounts!$A$2:$A$9,0))</f>
        <v>Salaries &amp; Wages</v>
      </c>
      <c r="F905" t="str">
        <f>INDEX(Accounts!$C$2:$C$9,MATCH(D905,Accounts!$A$2:$A$9,0))</f>
        <v>Operating Expense</v>
      </c>
      <c r="G905" t="s">
        <v>45</v>
      </c>
      <c r="H905" t="s">
        <v>46</v>
      </c>
      <c r="I905">
        <v>5944</v>
      </c>
    </row>
    <row r="906" spans="1:9" x14ac:dyDescent="0.3">
      <c r="A906" t="s">
        <v>1204</v>
      </c>
      <c r="B906" t="s">
        <v>1203</v>
      </c>
      <c r="C906">
        <f t="shared" si="14"/>
        <v>45901</v>
      </c>
      <c r="D906">
        <v>6400</v>
      </c>
      <c r="E906" t="str">
        <f>INDEX(Accounts!$B$2:$B$9,MATCH(D906,Accounts!$A$2:$A$9,0))</f>
        <v>Software &amp; Admin</v>
      </c>
      <c r="F906" t="str">
        <f>INDEX(Accounts!$C$2:$C$9,MATCH(D906,Accounts!$A$2:$A$9,0))</f>
        <v>Operating Expense</v>
      </c>
      <c r="G906" t="s">
        <v>45</v>
      </c>
      <c r="H906" t="s">
        <v>42</v>
      </c>
      <c r="I906">
        <v>7180</v>
      </c>
    </row>
    <row r="907" spans="1:9" x14ac:dyDescent="0.3">
      <c r="A907" t="s">
        <v>1205</v>
      </c>
      <c r="B907" t="s">
        <v>1203</v>
      </c>
      <c r="C907">
        <f t="shared" si="14"/>
        <v>45901</v>
      </c>
      <c r="D907">
        <v>4000</v>
      </c>
      <c r="E907" t="str">
        <f>INDEX(Accounts!$B$2:$B$9,MATCH(D907,Accounts!$A$2:$A$9,0))</f>
        <v>Product Sales</v>
      </c>
      <c r="F907" t="str">
        <f>INDEX(Accounts!$C$2:$C$9,MATCH(D907,Accounts!$A$2:$A$9,0))</f>
        <v>Revenue</v>
      </c>
      <c r="G907" t="s">
        <v>45</v>
      </c>
      <c r="H907" t="s">
        <v>44</v>
      </c>
      <c r="I907">
        <v>75941</v>
      </c>
    </row>
    <row r="908" spans="1:9" x14ac:dyDescent="0.3">
      <c r="A908" t="s">
        <v>1206</v>
      </c>
      <c r="B908" t="s">
        <v>1207</v>
      </c>
      <c r="C908">
        <f t="shared" si="14"/>
        <v>45901</v>
      </c>
      <c r="D908">
        <v>6300</v>
      </c>
      <c r="E908" t="str">
        <f>INDEX(Accounts!$B$2:$B$9,MATCH(D908,Accounts!$A$2:$A$9,0))</f>
        <v>Logistics Expense</v>
      </c>
      <c r="F908" t="str">
        <f>INDEX(Accounts!$C$2:$C$9,MATCH(D908,Accounts!$A$2:$A$9,0))</f>
        <v>Operating Expense</v>
      </c>
      <c r="G908" t="s">
        <v>43</v>
      </c>
      <c r="H908" t="s">
        <v>42</v>
      </c>
      <c r="I908">
        <v>4868</v>
      </c>
    </row>
    <row r="909" spans="1:9" x14ac:dyDescent="0.3">
      <c r="A909" t="s">
        <v>1208</v>
      </c>
      <c r="B909" t="s">
        <v>1207</v>
      </c>
      <c r="C909">
        <f t="shared" si="14"/>
        <v>45901</v>
      </c>
      <c r="D909">
        <v>5000</v>
      </c>
      <c r="E909" t="str">
        <f>INDEX(Accounts!$B$2:$B$9,MATCH(D909,Accounts!$A$2:$A$9,0))</f>
        <v>Cost of Goods Sold</v>
      </c>
      <c r="F909" t="str">
        <f>INDEX(Accounts!$C$2:$C$9,MATCH(D909,Accounts!$A$2:$A$9,0))</f>
        <v>COGS</v>
      </c>
      <c r="G909" t="s">
        <v>45</v>
      </c>
      <c r="H909" t="s">
        <v>46</v>
      </c>
      <c r="I909">
        <v>17335</v>
      </c>
    </row>
    <row r="910" spans="1:9" x14ac:dyDescent="0.3">
      <c r="A910" t="s">
        <v>1209</v>
      </c>
      <c r="B910" t="s">
        <v>1210</v>
      </c>
      <c r="C910">
        <f t="shared" si="14"/>
        <v>45901</v>
      </c>
      <c r="D910">
        <v>6300</v>
      </c>
      <c r="E910" t="str">
        <f>INDEX(Accounts!$B$2:$B$9,MATCH(D910,Accounts!$A$2:$A$9,0))</f>
        <v>Logistics Expense</v>
      </c>
      <c r="F910" t="str">
        <f>INDEX(Accounts!$C$2:$C$9,MATCH(D910,Accounts!$A$2:$A$9,0))</f>
        <v>Operating Expense</v>
      </c>
      <c r="G910" t="s">
        <v>45</v>
      </c>
      <c r="H910" t="s">
        <v>46</v>
      </c>
      <c r="I910">
        <v>7525</v>
      </c>
    </row>
    <row r="911" spans="1:9" x14ac:dyDescent="0.3">
      <c r="A911" t="s">
        <v>1211</v>
      </c>
      <c r="B911" t="s">
        <v>1210</v>
      </c>
      <c r="C911">
        <f t="shared" si="14"/>
        <v>45901</v>
      </c>
      <c r="D911">
        <v>4000</v>
      </c>
      <c r="E911" t="str">
        <f>INDEX(Accounts!$B$2:$B$9,MATCH(D911,Accounts!$A$2:$A$9,0))</f>
        <v>Product Sales</v>
      </c>
      <c r="F911" t="str">
        <f>INDEX(Accounts!$C$2:$C$9,MATCH(D911,Accounts!$A$2:$A$9,0))</f>
        <v>Revenue</v>
      </c>
      <c r="G911" t="s">
        <v>43</v>
      </c>
      <c r="H911" t="s">
        <v>46</v>
      </c>
      <c r="I911">
        <v>102326</v>
      </c>
    </row>
    <row r="912" spans="1:9" x14ac:dyDescent="0.3">
      <c r="A912" t="s">
        <v>1212</v>
      </c>
      <c r="B912" t="s">
        <v>1213</v>
      </c>
      <c r="C912">
        <f t="shared" si="14"/>
        <v>45901</v>
      </c>
      <c r="D912">
        <v>6000</v>
      </c>
      <c r="E912" t="str">
        <f>INDEX(Accounts!$B$2:$B$9,MATCH(D912,Accounts!$A$2:$A$9,0))</f>
        <v>Salaries &amp; Wages</v>
      </c>
      <c r="F912" t="str">
        <f>INDEX(Accounts!$C$2:$C$9,MATCH(D912,Accounts!$A$2:$A$9,0))</f>
        <v>Operating Expense</v>
      </c>
      <c r="G912" t="s">
        <v>41</v>
      </c>
      <c r="H912" t="s">
        <v>44</v>
      </c>
      <c r="I912">
        <v>12064</v>
      </c>
    </row>
    <row r="913" spans="1:9" x14ac:dyDescent="0.3">
      <c r="A913" t="s">
        <v>1214</v>
      </c>
      <c r="B913" t="s">
        <v>1213</v>
      </c>
      <c r="C913">
        <f t="shared" si="14"/>
        <v>45901</v>
      </c>
      <c r="D913">
        <v>6000</v>
      </c>
      <c r="E913" t="str">
        <f>INDEX(Accounts!$B$2:$B$9,MATCH(D913,Accounts!$A$2:$A$9,0))</f>
        <v>Salaries &amp; Wages</v>
      </c>
      <c r="F913" t="str">
        <f>INDEX(Accounts!$C$2:$C$9,MATCH(D913,Accounts!$A$2:$A$9,0))</f>
        <v>Operating Expense</v>
      </c>
      <c r="G913" t="s">
        <v>41</v>
      </c>
      <c r="H913" t="s">
        <v>46</v>
      </c>
      <c r="I913">
        <v>31938</v>
      </c>
    </row>
    <row r="914" spans="1:9" x14ac:dyDescent="0.3">
      <c r="A914" t="s">
        <v>1215</v>
      </c>
      <c r="B914" t="s">
        <v>1213</v>
      </c>
      <c r="C914">
        <f t="shared" si="14"/>
        <v>45901</v>
      </c>
      <c r="D914">
        <v>4000</v>
      </c>
      <c r="E914" t="str">
        <f>INDEX(Accounts!$B$2:$B$9,MATCH(D914,Accounts!$A$2:$A$9,0))</f>
        <v>Product Sales</v>
      </c>
      <c r="F914" t="str">
        <f>INDEX(Accounts!$C$2:$C$9,MATCH(D914,Accounts!$A$2:$A$9,0))</f>
        <v>Revenue</v>
      </c>
      <c r="G914" t="s">
        <v>45</v>
      </c>
      <c r="H914" t="s">
        <v>44</v>
      </c>
      <c r="I914">
        <v>111730</v>
      </c>
    </row>
    <row r="915" spans="1:9" x14ac:dyDescent="0.3">
      <c r="A915" t="s">
        <v>1216</v>
      </c>
      <c r="B915" t="s">
        <v>1217</v>
      </c>
      <c r="C915">
        <f t="shared" si="14"/>
        <v>45901</v>
      </c>
      <c r="D915">
        <v>4000</v>
      </c>
      <c r="E915" t="str">
        <f>INDEX(Accounts!$B$2:$B$9,MATCH(D915,Accounts!$A$2:$A$9,0))</f>
        <v>Product Sales</v>
      </c>
      <c r="F915" t="str">
        <f>INDEX(Accounts!$C$2:$C$9,MATCH(D915,Accounts!$A$2:$A$9,0))</f>
        <v>Revenue</v>
      </c>
      <c r="G915" t="s">
        <v>45</v>
      </c>
      <c r="H915" t="s">
        <v>46</v>
      </c>
      <c r="I915">
        <v>115138</v>
      </c>
    </row>
    <row r="916" spans="1:9" x14ac:dyDescent="0.3">
      <c r="A916" t="s">
        <v>1218</v>
      </c>
      <c r="B916" t="s">
        <v>1219</v>
      </c>
      <c r="C916">
        <f t="shared" si="14"/>
        <v>45901</v>
      </c>
      <c r="D916">
        <v>6400</v>
      </c>
      <c r="E916" t="str">
        <f>INDEX(Accounts!$B$2:$B$9,MATCH(D916,Accounts!$A$2:$A$9,0))</f>
        <v>Software &amp; Admin</v>
      </c>
      <c r="F916" t="str">
        <f>INDEX(Accounts!$C$2:$C$9,MATCH(D916,Accounts!$A$2:$A$9,0))</f>
        <v>Operating Expense</v>
      </c>
      <c r="G916" t="s">
        <v>41</v>
      </c>
      <c r="H916" t="s">
        <v>42</v>
      </c>
      <c r="I916">
        <v>7203</v>
      </c>
    </row>
    <row r="917" spans="1:9" x14ac:dyDescent="0.3">
      <c r="A917" t="s">
        <v>1220</v>
      </c>
      <c r="B917" t="s">
        <v>1219</v>
      </c>
      <c r="C917">
        <f t="shared" si="14"/>
        <v>45901</v>
      </c>
      <c r="D917">
        <v>6400</v>
      </c>
      <c r="E917" t="str">
        <f>INDEX(Accounts!$B$2:$B$9,MATCH(D917,Accounts!$A$2:$A$9,0))</f>
        <v>Software &amp; Admin</v>
      </c>
      <c r="F917" t="str">
        <f>INDEX(Accounts!$C$2:$C$9,MATCH(D917,Accounts!$A$2:$A$9,0))</f>
        <v>Operating Expense</v>
      </c>
      <c r="G917" t="s">
        <v>43</v>
      </c>
      <c r="H917" t="s">
        <v>42</v>
      </c>
      <c r="I917">
        <v>3263</v>
      </c>
    </row>
    <row r="918" spans="1:9" x14ac:dyDescent="0.3">
      <c r="A918" t="s">
        <v>1221</v>
      </c>
      <c r="B918" t="s">
        <v>1219</v>
      </c>
      <c r="C918">
        <f t="shared" si="14"/>
        <v>45901</v>
      </c>
      <c r="D918">
        <v>5000</v>
      </c>
      <c r="E918" t="str">
        <f>INDEX(Accounts!$B$2:$B$9,MATCH(D918,Accounts!$A$2:$A$9,0))</f>
        <v>Cost of Goods Sold</v>
      </c>
      <c r="F918" t="str">
        <f>INDEX(Accounts!$C$2:$C$9,MATCH(D918,Accounts!$A$2:$A$9,0))</f>
        <v>COGS</v>
      </c>
      <c r="G918" t="s">
        <v>48</v>
      </c>
      <c r="H918" t="s">
        <v>46</v>
      </c>
      <c r="I918">
        <v>12468</v>
      </c>
    </row>
    <row r="919" spans="1:9" x14ac:dyDescent="0.3">
      <c r="A919" t="s">
        <v>1222</v>
      </c>
      <c r="B919" t="s">
        <v>1219</v>
      </c>
      <c r="C919">
        <f t="shared" si="14"/>
        <v>45901</v>
      </c>
      <c r="D919">
        <v>5000</v>
      </c>
      <c r="E919" t="str">
        <f>INDEX(Accounts!$B$2:$B$9,MATCH(D919,Accounts!$A$2:$A$9,0))</f>
        <v>Cost of Goods Sold</v>
      </c>
      <c r="F919" t="str">
        <f>INDEX(Accounts!$C$2:$C$9,MATCH(D919,Accounts!$A$2:$A$9,0))</f>
        <v>COGS</v>
      </c>
      <c r="G919" t="s">
        <v>41</v>
      </c>
      <c r="H919" t="s">
        <v>46</v>
      </c>
      <c r="I919">
        <v>42766</v>
      </c>
    </row>
    <row r="920" spans="1:9" x14ac:dyDescent="0.3">
      <c r="A920" t="s">
        <v>1223</v>
      </c>
      <c r="B920" t="s">
        <v>1219</v>
      </c>
      <c r="C920">
        <f t="shared" si="14"/>
        <v>45901</v>
      </c>
      <c r="D920">
        <v>5000</v>
      </c>
      <c r="E920" t="str">
        <f>INDEX(Accounts!$B$2:$B$9,MATCH(D920,Accounts!$A$2:$A$9,0))</f>
        <v>Cost of Goods Sold</v>
      </c>
      <c r="F920" t="str">
        <f>INDEX(Accounts!$C$2:$C$9,MATCH(D920,Accounts!$A$2:$A$9,0))</f>
        <v>COGS</v>
      </c>
      <c r="G920" t="s">
        <v>47</v>
      </c>
      <c r="H920" t="s">
        <v>42</v>
      </c>
      <c r="I920">
        <v>33288</v>
      </c>
    </row>
    <row r="921" spans="1:9" x14ac:dyDescent="0.3">
      <c r="A921" t="s">
        <v>1224</v>
      </c>
      <c r="B921" t="s">
        <v>1219</v>
      </c>
      <c r="C921">
        <f t="shared" si="14"/>
        <v>45901</v>
      </c>
      <c r="D921">
        <v>6000</v>
      </c>
      <c r="E921" t="str">
        <f>INDEX(Accounts!$B$2:$B$9,MATCH(D921,Accounts!$A$2:$A$9,0))</f>
        <v>Salaries &amp; Wages</v>
      </c>
      <c r="F921" t="str">
        <f>INDEX(Accounts!$C$2:$C$9,MATCH(D921,Accounts!$A$2:$A$9,0))</f>
        <v>Operating Expense</v>
      </c>
      <c r="G921" t="s">
        <v>41</v>
      </c>
      <c r="H921" t="s">
        <v>46</v>
      </c>
      <c r="I921">
        <v>9993</v>
      </c>
    </row>
    <row r="922" spans="1:9" x14ac:dyDescent="0.3">
      <c r="A922" t="s">
        <v>1225</v>
      </c>
      <c r="B922" t="s">
        <v>1226</v>
      </c>
      <c r="C922">
        <f t="shared" si="14"/>
        <v>45901</v>
      </c>
      <c r="D922">
        <v>6000</v>
      </c>
      <c r="E922" t="str">
        <f>INDEX(Accounts!$B$2:$B$9,MATCH(D922,Accounts!$A$2:$A$9,0))</f>
        <v>Salaries &amp; Wages</v>
      </c>
      <c r="F922" t="str">
        <f>INDEX(Accounts!$C$2:$C$9,MATCH(D922,Accounts!$A$2:$A$9,0))</f>
        <v>Operating Expense</v>
      </c>
      <c r="G922" t="s">
        <v>45</v>
      </c>
      <c r="H922" t="s">
        <v>42</v>
      </c>
      <c r="I922">
        <v>32493</v>
      </c>
    </row>
    <row r="923" spans="1:9" x14ac:dyDescent="0.3">
      <c r="A923" t="s">
        <v>1227</v>
      </c>
      <c r="B923" t="s">
        <v>1226</v>
      </c>
      <c r="C923">
        <f t="shared" si="14"/>
        <v>45901</v>
      </c>
      <c r="D923">
        <v>4000</v>
      </c>
      <c r="E923" t="str">
        <f>INDEX(Accounts!$B$2:$B$9,MATCH(D923,Accounts!$A$2:$A$9,0))</f>
        <v>Product Sales</v>
      </c>
      <c r="F923" t="str">
        <f>INDEX(Accounts!$C$2:$C$9,MATCH(D923,Accounts!$A$2:$A$9,0))</f>
        <v>Revenue</v>
      </c>
      <c r="G923" t="s">
        <v>45</v>
      </c>
      <c r="H923" t="s">
        <v>42</v>
      </c>
      <c r="I923">
        <v>99746</v>
      </c>
    </row>
    <row r="924" spans="1:9" x14ac:dyDescent="0.3">
      <c r="A924" t="s">
        <v>1228</v>
      </c>
      <c r="B924" t="s">
        <v>1229</v>
      </c>
      <c r="C924">
        <f t="shared" si="14"/>
        <v>45901</v>
      </c>
      <c r="D924">
        <v>6000</v>
      </c>
      <c r="E924" t="str">
        <f>INDEX(Accounts!$B$2:$B$9,MATCH(D924,Accounts!$A$2:$A$9,0))</f>
        <v>Salaries &amp; Wages</v>
      </c>
      <c r="F924" t="str">
        <f>INDEX(Accounts!$C$2:$C$9,MATCH(D924,Accounts!$A$2:$A$9,0))</f>
        <v>Operating Expense</v>
      </c>
      <c r="G924" t="s">
        <v>43</v>
      </c>
      <c r="H924" t="s">
        <v>44</v>
      </c>
      <c r="I924">
        <v>26261</v>
      </c>
    </row>
    <row r="925" spans="1:9" x14ac:dyDescent="0.3">
      <c r="A925" t="s">
        <v>1230</v>
      </c>
      <c r="B925" t="s">
        <v>1229</v>
      </c>
      <c r="C925">
        <f t="shared" si="14"/>
        <v>45901</v>
      </c>
      <c r="D925">
        <v>6200</v>
      </c>
      <c r="E925" t="str">
        <f>INDEX(Accounts!$B$2:$B$9,MATCH(D925,Accounts!$A$2:$A$9,0))</f>
        <v>Rent &amp; Utilities</v>
      </c>
      <c r="F925" t="str">
        <f>INDEX(Accounts!$C$2:$C$9,MATCH(D925,Accounts!$A$2:$A$9,0))</f>
        <v>Operating Expense</v>
      </c>
      <c r="G925" t="s">
        <v>41</v>
      </c>
      <c r="H925" t="s">
        <v>44</v>
      </c>
      <c r="I925">
        <v>12388</v>
      </c>
    </row>
    <row r="926" spans="1:9" x14ac:dyDescent="0.3">
      <c r="A926" t="s">
        <v>1231</v>
      </c>
      <c r="B926" t="s">
        <v>1229</v>
      </c>
      <c r="C926">
        <f t="shared" si="14"/>
        <v>45901</v>
      </c>
      <c r="D926">
        <v>4000</v>
      </c>
      <c r="E926" t="str">
        <f>INDEX(Accounts!$B$2:$B$9,MATCH(D926,Accounts!$A$2:$A$9,0))</f>
        <v>Product Sales</v>
      </c>
      <c r="F926" t="str">
        <f>INDEX(Accounts!$C$2:$C$9,MATCH(D926,Accounts!$A$2:$A$9,0))</f>
        <v>Revenue</v>
      </c>
      <c r="G926" t="s">
        <v>45</v>
      </c>
      <c r="H926" t="s">
        <v>42</v>
      </c>
      <c r="I926">
        <v>94986</v>
      </c>
    </row>
    <row r="927" spans="1:9" x14ac:dyDescent="0.3">
      <c r="A927" t="s">
        <v>1232</v>
      </c>
      <c r="B927" t="s">
        <v>1229</v>
      </c>
      <c r="C927">
        <f t="shared" si="14"/>
        <v>45901</v>
      </c>
      <c r="D927">
        <v>6200</v>
      </c>
      <c r="E927" t="str">
        <f>INDEX(Accounts!$B$2:$B$9,MATCH(D927,Accounts!$A$2:$A$9,0))</f>
        <v>Rent &amp; Utilities</v>
      </c>
      <c r="F927" t="str">
        <f>INDEX(Accounts!$C$2:$C$9,MATCH(D927,Accounts!$A$2:$A$9,0))</f>
        <v>Operating Expense</v>
      </c>
      <c r="G927" t="s">
        <v>41</v>
      </c>
      <c r="H927" t="s">
        <v>42</v>
      </c>
      <c r="I927">
        <v>11740</v>
      </c>
    </row>
    <row r="928" spans="1:9" x14ac:dyDescent="0.3">
      <c r="A928" t="s">
        <v>1233</v>
      </c>
      <c r="B928" t="s">
        <v>1234</v>
      </c>
      <c r="C928">
        <f t="shared" si="14"/>
        <v>45901</v>
      </c>
      <c r="D928">
        <v>6000</v>
      </c>
      <c r="E928" t="str">
        <f>INDEX(Accounts!$B$2:$B$9,MATCH(D928,Accounts!$A$2:$A$9,0))</f>
        <v>Salaries &amp; Wages</v>
      </c>
      <c r="F928" t="str">
        <f>INDEX(Accounts!$C$2:$C$9,MATCH(D928,Accounts!$A$2:$A$9,0))</f>
        <v>Operating Expense</v>
      </c>
      <c r="G928" t="s">
        <v>47</v>
      </c>
      <c r="H928" t="s">
        <v>46</v>
      </c>
      <c r="I928">
        <v>14794</v>
      </c>
    </row>
    <row r="929" spans="1:9" x14ac:dyDescent="0.3">
      <c r="A929" t="s">
        <v>1235</v>
      </c>
      <c r="B929" t="s">
        <v>1236</v>
      </c>
      <c r="C929">
        <f t="shared" si="14"/>
        <v>45901</v>
      </c>
      <c r="D929">
        <v>4000</v>
      </c>
      <c r="E929" t="str">
        <f>INDEX(Accounts!$B$2:$B$9,MATCH(D929,Accounts!$A$2:$A$9,0))</f>
        <v>Product Sales</v>
      </c>
      <c r="F929" t="str">
        <f>INDEX(Accounts!$C$2:$C$9,MATCH(D929,Accounts!$A$2:$A$9,0))</f>
        <v>Revenue</v>
      </c>
      <c r="G929" t="s">
        <v>43</v>
      </c>
      <c r="H929" t="s">
        <v>44</v>
      </c>
      <c r="I929">
        <v>56118</v>
      </c>
    </row>
    <row r="930" spans="1:9" x14ac:dyDescent="0.3">
      <c r="A930" t="s">
        <v>1237</v>
      </c>
      <c r="B930" t="s">
        <v>1236</v>
      </c>
      <c r="C930">
        <f t="shared" si="14"/>
        <v>45901</v>
      </c>
      <c r="D930">
        <v>6200</v>
      </c>
      <c r="E930" t="str">
        <f>INDEX(Accounts!$B$2:$B$9,MATCH(D930,Accounts!$A$2:$A$9,0))</f>
        <v>Rent &amp; Utilities</v>
      </c>
      <c r="F930" t="str">
        <f>INDEX(Accounts!$C$2:$C$9,MATCH(D930,Accounts!$A$2:$A$9,0))</f>
        <v>Operating Expense</v>
      </c>
      <c r="G930" t="s">
        <v>41</v>
      </c>
      <c r="H930" t="s">
        <v>44</v>
      </c>
      <c r="I930">
        <v>4765</v>
      </c>
    </row>
    <row r="931" spans="1:9" x14ac:dyDescent="0.3">
      <c r="A931" t="s">
        <v>1238</v>
      </c>
      <c r="B931" t="s">
        <v>1236</v>
      </c>
      <c r="C931">
        <f t="shared" si="14"/>
        <v>45901</v>
      </c>
      <c r="D931">
        <v>6000</v>
      </c>
      <c r="E931" t="str">
        <f>INDEX(Accounts!$B$2:$B$9,MATCH(D931,Accounts!$A$2:$A$9,0))</f>
        <v>Salaries &amp; Wages</v>
      </c>
      <c r="F931" t="str">
        <f>INDEX(Accounts!$C$2:$C$9,MATCH(D931,Accounts!$A$2:$A$9,0))</f>
        <v>Operating Expense</v>
      </c>
      <c r="G931" t="s">
        <v>41</v>
      </c>
      <c r="H931" t="s">
        <v>46</v>
      </c>
      <c r="I931">
        <v>7207</v>
      </c>
    </row>
    <row r="932" spans="1:9" x14ac:dyDescent="0.3">
      <c r="A932" t="s">
        <v>1239</v>
      </c>
      <c r="B932" t="s">
        <v>1240</v>
      </c>
      <c r="C932">
        <f t="shared" si="14"/>
        <v>45901</v>
      </c>
      <c r="D932">
        <v>6100</v>
      </c>
      <c r="E932" t="str">
        <f>INDEX(Accounts!$B$2:$B$9,MATCH(D932,Accounts!$A$2:$A$9,0))</f>
        <v>Marketing Expense</v>
      </c>
      <c r="F932" t="str">
        <f>INDEX(Accounts!$C$2:$C$9,MATCH(D932,Accounts!$A$2:$A$9,0))</f>
        <v>Operating Expense</v>
      </c>
      <c r="G932" t="s">
        <v>41</v>
      </c>
      <c r="H932" t="s">
        <v>44</v>
      </c>
      <c r="I932">
        <v>8755</v>
      </c>
    </row>
    <row r="933" spans="1:9" x14ac:dyDescent="0.3">
      <c r="A933" t="s">
        <v>1241</v>
      </c>
      <c r="B933" t="s">
        <v>1240</v>
      </c>
      <c r="C933">
        <f t="shared" si="14"/>
        <v>45901</v>
      </c>
      <c r="D933">
        <v>6000</v>
      </c>
      <c r="E933" t="str">
        <f>INDEX(Accounts!$B$2:$B$9,MATCH(D933,Accounts!$A$2:$A$9,0))</f>
        <v>Salaries &amp; Wages</v>
      </c>
      <c r="F933" t="str">
        <f>INDEX(Accounts!$C$2:$C$9,MATCH(D933,Accounts!$A$2:$A$9,0))</f>
        <v>Operating Expense</v>
      </c>
      <c r="G933" t="s">
        <v>48</v>
      </c>
      <c r="H933" t="s">
        <v>46</v>
      </c>
      <c r="I933">
        <v>18679</v>
      </c>
    </row>
    <row r="934" spans="1:9" x14ac:dyDescent="0.3">
      <c r="A934" t="s">
        <v>1242</v>
      </c>
      <c r="B934" t="s">
        <v>1240</v>
      </c>
      <c r="C934">
        <f t="shared" si="14"/>
        <v>45901</v>
      </c>
      <c r="D934">
        <v>6200</v>
      </c>
      <c r="E934" t="str">
        <f>INDEX(Accounts!$B$2:$B$9,MATCH(D934,Accounts!$A$2:$A$9,0))</f>
        <v>Rent &amp; Utilities</v>
      </c>
      <c r="F934" t="str">
        <f>INDEX(Accounts!$C$2:$C$9,MATCH(D934,Accounts!$A$2:$A$9,0))</f>
        <v>Operating Expense</v>
      </c>
      <c r="G934" t="s">
        <v>43</v>
      </c>
      <c r="H934" t="s">
        <v>42</v>
      </c>
      <c r="I934">
        <v>14594</v>
      </c>
    </row>
    <row r="935" spans="1:9" x14ac:dyDescent="0.3">
      <c r="A935" t="s">
        <v>1243</v>
      </c>
      <c r="B935" t="s">
        <v>1240</v>
      </c>
      <c r="C935">
        <f t="shared" si="14"/>
        <v>45901</v>
      </c>
      <c r="D935">
        <v>6400</v>
      </c>
      <c r="E935" t="str">
        <f>INDEX(Accounts!$B$2:$B$9,MATCH(D935,Accounts!$A$2:$A$9,0))</f>
        <v>Software &amp; Admin</v>
      </c>
      <c r="F935" t="str">
        <f>INDEX(Accounts!$C$2:$C$9,MATCH(D935,Accounts!$A$2:$A$9,0))</f>
        <v>Operating Expense</v>
      </c>
      <c r="G935" t="s">
        <v>47</v>
      </c>
      <c r="H935" t="s">
        <v>46</v>
      </c>
      <c r="I935">
        <v>1144</v>
      </c>
    </row>
    <row r="936" spans="1:9" x14ac:dyDescent="0.3">
      <c r="A936" t="s">
        <v>1244</v>
      </c>
      <c r="B936" t="s">
        <v>1245</v>
      </c>
      <c r="C936">
        <f t="shared" si="14"/>
        <v>45901</v>
      </c>
      <c r="D936">
        <v>5000</v>
      </c>
      <c r="E936" t="str">
        <f>INDEX(Accounts!$B$2:$B$9,MATCH(D936,Accounts!$A$2:$A$9,0))</f>
        <v>Cost of Goods Sold</v>
      </c>
      <c r="F936" t="str">
        <f>INDEX(Accounts!$C$2:$C$9,MATCH(D936,Accounts!$A$2:$A$9,0))</f>
        <v>COGS</v>
      </c>
      <c r="G936" t="s">
        <v>41</v>
      </c>
      <c r="H936" t="s">
        <v>42</v>
      </c>
      <c r="I936">
        <v>40271</v>
      </c>
    </row>
    <row r="937" spans="1:9" x14ac:dyDescent="0.3">
      <c r="A937" t="s">
        <v>1246</v>
      </c>
      <c r="B937" t="s">
        <v>1245</v>
      </c>
      <c r="C937">
        <f t="shared" si="14"/>
        <v>45901</v>
      </c>
      <c r="D937">
        <v>4000</v>
      </c>
      <c r="E937" t="str">
        <f>INDEX(Accounts!$B$2:$B$9,MATCH(D937,Accounts!$A$2:$A$9,0))</f>
        <v>Product Sales</v>
      </c>
      <c r="F937" t="str">
        <f>INDEX(Accounts!$C$2:$C$9,MATCH(D937,Accounts!$A$2:$A$9,0))</f>
        <v>Revenue</v>
      </c>
      <c r="G937" t="s">
        <v>43</v>
      </c>
      <c r="H937" t="s">
        <v>46</v>
      </c>
      <c r="I937">
        <v>37732</v>
      </c>
    </row>
    <row r="938" spans="1:9" x14ac:dyDescent="0.3">
      <c r="A938" t="s">
        <v>1247</v>
      </c>
      <c r="B938" t="s">
        <v>1248</v>
      </c>
      <c r="C938">
        <f t="shared" si="14"/>
        <v>45901</v>
      </c>
      <c r="D938">
        <v>6300</v>
      </c>
      <c r="E938" t="str">
        <f>INDEX(Accounts!$B$2:$B$9,MATCH(D938,Accounts!$A$2:$A$9,0))</f>
        <v>Logistics Expense</v>
      </c>
      <c r="F938" t="str">
        <f>INDEX(Accounts!$C$2:$C$9,MATCH(D938,Accounts!$A$2:$A$9,0))</f>
        <v>Operating Expense</v>
      </c>
      <c r="G938" t="s">
        <v>47</v>
      </c>
      <c r="H938" t="s">
        <v>44</v>
      </c>
      <c r="I938">
        <v>9828</v>
      </c>
    </row>
    <row r="939" spans="1:9" x14ac:dyDescent="0.3">
      <c r="A939" t="s">
        <v>1249</v>
      </c>
      <c r="B939" t="s">
        <v>1248</v>
      </c>
      <c r="C939">
        <f t="shared" si="14"/>
        <v>45901</v>
      </c>
      <c r="D939">
        <v>6200</v>
      </c>
      <c r="E939" t="str">
        <f>INDEX(Accounts!$B$2:$B$9,MATCH(D939,Accounts!$A$2:$A$9,0))</f>
        <v>Rent &amp; Utilities</v>
      </c>
      <c r="F939" t="str">
        <f>INDEX(Accounts!$C$2:$C$9,MATCH(D939,Accounts!$A$2:$A$9,0))</f>
        <v>Operating Expense</v>
      </c>
      <c r="G939" t="s">
        <v>47</v>
      </c>
      <c r="H939" t="s">
        <v>46</v>
      </c>
      <c r="I939">
        <v>10130</v>
      </c>
    </row>
    <row r="940" spans="1:9" x14ac:dyDescent="0.3">
      <c r="A940" t="s">
        <v>1250</v>
      </c>
      <c r="B940" t="s">
        <v>1251</v>
      </c>
      <c r="C940">
        <f t="shared" si="14"/>
        <v>45901</v>
      </c>
      <c r="D940">
        <v>6200</v>
      </c>
      <c r="E940" t="str">
        <f>INDEX(Accounts!$B$2:$B$9,MATCH(D940,Accounts!$A$2:$A$9,0))</f>
        <v>Rent &amp; Utilities</v>
      </c>
      <c r="F940" t="str">
        <f>INDEX(Accounts!$C$2:$C$9,MATCH(D940,Accounts!$A$2:$A$9,0))</f>
        <v>Operating Expense</v>
      </c>
      <c r="G940" t="s">
        <v>41</v>
      </c>
      <c r="H940" t="s">
        <v>44</v>
      </c>
      <c r="I940">
        <v>14627</v>
      </c>
    </row>
    <row r="941" spans="1:9" x14ac:dyDescent="0.3">
      <c r="A941" t="s">
        <v>1252</v>
      </c>
      <c r="B941" t="s">
        <v>1253</v>
      </c>
      <c r="C941">
        <f t="shared" si="14"/>
        <v>45901</v>
      </c>
      <c r="D941">
        <v>4000</v>
      </c>
      <c r="E941" t="str">
        <f>INDEX(Accounts!$B$2:$B$9,MATCH(D941,Accounts!$A$2:$A$9,0))</f>
        <v>Product Sales</v>
      </c>
      <c r="F941" t="str">
        <f>INDEX(Accounts!$C$2:$C$9,MATCH(D941,Accounts!$A$2:$A$9,0))</f>
        <v>Revenue</v>
      </c>
      <c r="G941" t="s">
        <v>45</v>
      </c>
      <c r="H941" t="s">
        <v>42</v>
      </c>
      <c r="I941">
        <v>151334</v>
      </c>
    </row>
    <row r="942" spans="1:9" x14ac:dyDescent="0.3">
      <c r="A942" t="s">
        <v>1254</v>
      </c>
      <c r="B942" t="s">
        <v>1253</v>
      </c>
      <c r="C942">
        <f t="shared" si="14"/>
        <v>45901</v>
      </c>
      <c r="D942">
        <v>6400</v>
      </c>
      <c r="E942" t="str">
        <f>INDEX(Accounts!$B$2:$B$9,MATCH(D942,Accounts!$A$2:$A$9,0))</f>
        <v>Software &amp; Admin</v>
      </c>
      <c r="F942" t="str">
        <f>INDEX(Accounts!$C$2:$C$9,MATCH(D942,Accounts!$A$2:$A$9,0))</f>
        <v>Operating Expense</v>
      </c>
      <c r="G942" t="s">
        <v>45</v>
      </c>
      <c r="H942" t="s">
        <v>46</v>
      </c>
      <c r="I942">
        <v>4389</v>
      </c>
    </row>
    <row r="943" spans="1:9" x14ac:dyDescent="0.3">
      <c r="A943" t="s">
        <v>1255</v>
      </c>
      <c r="B943" t="s">
        <v>1253</v>
      </c>
      <c r="C943">
        <f t="shared" si="14"/>
        <v>45901</v>
      </c>
      <c r="D943">
        <v>6300</v>
      </c>
      <c r="E943" t="str">
        <f>INDEX(Accounts!$B$2:$B$9,MATCH(D943,Accounts!$A$2:$A$9,0))</f>
        <v>Logistics Expense</v>
      </c>
      <c r="F943" t="str">
        <f>INDEX(Accounts!$C$2:$C$9,MATCH(D943,Accounts!$A$2:$A$9,0))</f>
        <v>Operating Expense</v>
      </c>
      <c r="G943" t="s">
        <v>43</v>
      </c>
      <c r="H943" t="s">
        <v>44</v>
      </c>
      <c r="I943">
        <v>8359</v>
      </c>
    </row>
    <row r="944" spans="1:9" x14ac:dyDescent="0.3">
      <c r="A944" t="s">
        <v>1256</v>
      </c>
      <c r="B944" t="s">
        <v>1253</v>
      </c>
      <c r="C944">
        <f t="shared" si="14"/>
        <v>45901</v>
      </c>
      <c r="D944">
        <v>6300</v>
      </c>
      <c r="E944" t="str">
        <f>INDEX(Accounts!$B$2:$B$9,MATCH(D944,Accounts!$A$2:$A$9,0))</f>
        <v>Logistics Expense</v>
      </c>
      <c r="F944" t="str">
        <f>INDEX(Accounts!$C$2:$C$9,MATCH(D944,Accounts!$A$2:$A$9,0))</f>
        <v>Operating Expense</v>
      </c>
      <c r="G944" t="s">
        <v>45</v>
      </c>
      <c r="H944" t="s">
        <v>44</v>
      </c>
      <c r="I944">
        <v>8018</v>
      </c>
    </row>
    <row r="945" spans="1:9" x14ac:dyDescent="0.3">
      <c r="A945" t="s">
        <v>1257</v>
      </c>
      <c r="B945" t="s">
        <v>1253</v>
      </c>
      <c r="C945">
        <f t="shared" si="14"/>
        <v>45901</v>
      </c>
      <c r="D945">
        <v>6300</v>
      </c>
      <c r="E945" t="str">
        <f>INDEX(Accounts!$B$2:$B$9,MATCH(D945,Accounts!$A$2:$A$9,0))</f>
        <v>Logistics Expense</v>
      </c>
      <c r="F945" t="str">
        <f>INDEX(Accounts!$C$2:$C$9,MATCH(D945,Accounts!$A$2:$A$9,0))</f>
        <v>Operating Expense</v>
      </c>
      <c r="G945" t="s">
        <v>45</v>
      </c>
      <c r="H945" t="s">
        <v>42</v>
      </c>
      <c r="I945">
        <v>13663</v>
      </c>
    </row>
    <row r="946" spans="1:9" x14ac:dyDescent="0.3">
      <c r="A946" t="s">
        <v>1258</v>
      </c>
      <c r="B946" t="s">
        <v>1253</v>
      </c>
      <c r="C946">
        <f t="shared" si="14"/>
        <v>45901</v>
      </c>
      <c r="D946">
        <v>4000</v>
      </c>
      <c r="E946" t="str">
        <f>INDEX(Accounts!$B$2:$B$9,MATCH(D946,Accounts!$A$2:$A$9,0))</f>
        <v>Product Sales</v>
      </c>
      <c r="F946" t="str">
        <f>INDEX(Accounts!$C$2:$C$9,MATCH(D946,Accounts!$A$2:$A$9,0))</f>
        <v>Revenue</v>
      </c>
      <c r="G946" t="s">
        <v>45</v>
      </c>
      <c r="H946" t="s">
        <v>44</v>
      </c>
      <c r="I946">
        <v>124985</v>
      </c>
    </row>
    <row r="947" spans="1:9" x14ac:dyDescent="0.3">
      <c r="A947" t="s">
        <v>1259</v>
      </c>
      <c r="B947" t="s">
        <v>1253</v>
      </c>
      <c r="C947">
        <f t="shared" si="14"/>
        <v>45901</v>
      </c>
      <c r="D947">
        <v>4000</v>
      </c>
      <c r="E947" t="str">
        <f>INDEX(Accounts!$B$2:$B$9,MATCH(D947,Accounts!$A$2:$A$9,0))</f>
        <v>Product Sales</v>
      </c>
      <c r="F947" t="str">
        <f>INDEX(Accounts!$C$2:$C$9,MATCH(D947,Accounts!$A$2:$A$9,0))</f>
        <v>Revenue</v>
      </c>
      <c r="G947" t="s">
        <v>41</v>
      </c>
      <c r="H947" t="s">
        <v>44</v>
      </c>
      <c r="I947">
        <v>143134</v>
      </c>
    </row>
    <row r="948" spans="1:9" x14ac:dyDescent="0.3">
      <c r="A948" t="s">
        <v>1260</v>
      </c>
      <c r="B948" t="s">
        <v>1261</v>
      </c>
      <c r="C948">
        <f t="shared" si="14"/>
        <v>45901</v>
      </c>
      <c r="D948">
        <v>4000</v>
      </c>
      <c r="E948" t="str">
        <f>INDEX(Accounts!$B$2:$B$9,MATCH(D948,Accounts!$A$2:$A$9,0))</f>
        <v>Product Sales</v>
      </c>
      <c r="F948" t="str">
        <f>INDEX(Accounts!$C$2:$C$9,MATCH(D948,Accounts!$A$2:$A$9,0))</f>
        <v>Revenue</v>
      </c>
      <c r="G948" t="s">
        <v>43</v>
      </c>
      <c r="H948" t="s">
        <v>44</v>
      </c>
      <c r="I948">
        <v>95335</v>
      </c>
    </row>
    <row r="949" spans="1:9" x14ac:dyDescent="0.3">
      <c r="A949" t="s">
        <v>1262</v>
      </c>
      <c r="B949" t="s">
        <v>1261</v>
      </c>
      <c r="C949">
        <f t="shared" si="14"/>
        <v>45901</v>
      </c>
      <c r="D949">
        <v>6300</v>
      </c>
      <c r="E949" t="str">
        <f>INDEX(Accounts!$B$2:$B$9,MATCH(D949,Accounts!$A$2:$A$9,0))</f>
        <v>Logistics Expense</v>
      </c>
      <c r="F949" t="str">
        <f>INDEX(Accounts!$C$2:$C$9,MATCH(D949,Accounts!$A$2:$A$9,0))</f>
        <v>Operating Expense</v>
      </c>
      <c r="G949" t="s">
        <v>43</v>
      </c>
      <c r="H949" t="s">
        <v>44</v>
      </c>
      <c r="I949">
        <v>9623</v>
      </c>
    </row>
    <row r="950" spans="1:9" x14ac:dyDescent="0.3">
      <c r="A950" t="s">
        <v>1263</v>
      </c>
      <c r="B950" t="s">
        <v>1261</v>
      </c>
      <c r="C950">
        <f t="shared" si="14"/>
        <v>45901</v>
      </c>
      <c r="D950">
        <v>6000</v>
      </c>
      <c r="E950" t="str">
        <f>INDEX(Accounts!$B$2:$B$9,MATCH(D950,Accounts!$A$2:$A$9,0))</f>
        <v>Salaries &amp; Wages</v>
      </c>
      <c r="F950" t="str">
        <f>INDEX(Accounts!$C$2:$C$9,MATCH(D950,Accounts!$A$2:$A$9,0))</f>
        <v>Operating Expense</v>
      </c>
      <c r="G950" t="s">
        <v>48</v>
      </c>
      <c r="H950" t="s">
        <v>44</v>
      </c>
      <c r="I950">
        <v>32043</v>
      </c>
    </row>
    <row r="951" spans="1:9" x14ac:dyDescent="0.3">
      <c r="A951" t="s">
        <v>1264</v>
      </c>
      <c r="B951" t="s">
        <v>1261</v>
      </c>
      <c r="C951">
        <f t="shared" si="14"/>
        <v>45901</v>
      </c>
      <c r="D951">
        <v>6000</v>
      </c>
      <c r="E951" t="str">
        <f>INDEX(Accounts!$B$2:$B$9,MATCH(D951,Accounts!$A$2:$A$9,0))</f>
        <v>Salaries &amp; Wages</v>
      </c>
      <c r="F951" t="str">
        <f>INDEX(Accounts!$C$2:$C$9,MATCH(D951,Accounts!$A$2:$A$9,0))</f>
        <v>Operating Expense</v>
      </c>
      <c r="G951" t="s">
        <v>41</v>
      </c>
      <c r="H951" t="s">
        <v>46</v>
      </c>
      <c r="I951">
        <v>14425</v>
      </c>
    </row>
    <row r="952" spans="1:9" x14ac:dyDescent="0.3">
      <c r="A952" t="s">
        <v>1265</v>
      </c>
      <c r="B952" t="s">
        <v>1261</v>
      </c>
      <c r="C952">
        <f t="shared" si="14"/>
        <v>45901</v>
      </c>
      <c r="D952">
        <v>6200</v>
      </c>
      <c r="E952" t="str">
        <f>INDEX(Accounts!$B$2:$B$9,MATCH(D952,Accounts!$A$2:$A$9,0))</f>
        <v>Rent &amp; Utilities</v>
      </c>
      <c r="F952" t="str">
        <f>INDEX(Accounts!$C$2:$C$9,MATCH(D952,Accounts!$A$2:$A$9,0))</f>
        <v>Operating Expense</v>
      </c>
      <c r="G952" t="s">
        <v>41</v>
      </c>
      <c r="H952" t="s">
        <v>46</v>
      </c>
      <c r="I952">
        <v>5519</v>
      </c>
    </row>
    <row r="953" spans="1:9" x14ac:dyDescent="0.3">
      <c r="A953" t="s">
        <v>1266</v>
      </c>
      <c r="B953" t="s">
        <v>1261</v>
      </c>
      <c r="C953">
        <f t="shared" si="14"/>
        <v>45901</v>
      </c>
      <c r="D953">
        <v>5000</v>
      </c>
      <c r="E953" t="str">
        <f>INDEX(Accounts!$B$2:$B$9,MATCH(D953,Accounts!$A$2:$A$9,0))</f>
        <v>Cost of Goods Sold</v>
      </c>
      <c r="F953" t="str">
        <f>INDEX(Accounts!$C$2:$C$9,MATCH(D953,Accounts!$A$2:$A$9,0))</f>
        <v>COGS</v>
      </c>
      <c r="G953" t="s">
        <v>41</v>
      </c>
      <c r="H953" t="s">
        <v>44</v>
      </c>
      <c r="I953">
        <v>52125</v>
      </c>
    </row>
    <row r="954" spans="1:9" x14ac:dyDescent="0.3">
      <c r="A954" t="s">
        <v>1267</v>
      </c>
      <c r="B954" t="s">
        <v>1261</v>
      </c>
      <c r="C954">
        <f t="shared" si="14"/>
        <v>45901</v>
      </c>
      <c r="D954">
        <v>4000</v>
      </c>
      <c r="E954" t="str">
        <f>INDEX(Accounts!$B$2:$B$9,MATCH(D954,Accounts!$A$2:$A$9,0))</f>
        <v>Product Sales</v>
      </c>
      <c r="F954" t="str">
        <f>INDEX(Accounts!$C$2:$C$9,MATCH(D954,Accounts!$A$2:$A$9,0))</f>
        <v>Revenue</v>
      </c>
      <c r="G954" t="s">
        <v>45</v>
      </c>
      <c r="H954" t="s">
        <v>46</v>
      </c>
      <c r="I954">
        <v>122813</v>
      </c>
    </row>
    <row r="955" spans="1:9" x14ac:dyDescent="0.3">
      <c r="A955" t="s">
        <v>1268</v>
      </c>
      <c r="B955" t="s">
        <v>1269</v>
      </c>
      <c r="C955">
        <f t="shared" si="14"/>
        <v>45901</v>
      </c>
      <c r="D955">
        <v>6300</v>
      </c>
      <c r="E955" t="str">
        <f>INDEX(Accounts!$B$2:$B$9,MATCH(D955,Accounts!$A$2:$A$9,0))</f>
        <v>Logistics Expense</v>
      </c>
      <c r="F955" t="str">
        <f>INDEX(Accounts!$C$2:$C$9,MATCH(D955,Accounts!$A$2:$A$9,0))</f>
        <v>Operating Expense</v>
      </c>
      <c r="G955" t="s">
        <v>43</v>
      </c>
      <c r="H955" t="s">
        <v>46</v>
      </c>
      <c r="I955">
        <v>12978</v>
      </c>
    </row>
    <row r="956" spans="1:9" x14ac:dyDescent="0.3">
      <c r="A956" t="s">
        <v>1270</v>
      </c>
      <c r="B956" t="s">
        <v>1269</v>
      </c>
      <c r="C956">
        <f t="shared" si="14"/>
        <v>45901</v>
      </c>
      <c r="D956">
        <v>6100</v>
      </c>
      <c r="E956" t="str">
        <f>INDEX(Accounts!$B$2:$B$9,MATCH(D956,Accounts!$A$2:$A$9,0))</f>
        <v>Marketing Expense</v>
      </c>
      <c r="F956" t="str">
        <f>INDEX(Accounts!$C$2:$C$9,MATCH(D956,Accounts!$A$2:$A$9,0))</f>
        <v>Operating Expense</v>
      </c>
      <c r="G956" t="s">
        <v>47</v>
      </c>
      <c r="H956" t="s">
        <v>44</v>
      </c>
      <c r="I956">
        <v>16376</v>
      </c>
    </row>
    <row r="957" spans="1:9" x14ac:dyDescent="0.3">
      <c r="A957" t="s">
        <v>1271</v>
      </c>
      <c r="B957" t="s">
        <v>1272</v>
      </c>
      <c r="C957">
        <f t="shared" si="14"/>
        <v>45901</v>
      </c>
      <c r="D957">
        <v>5000</v>
      </c>
      <c r="E957" t="str">
        <f>INDEX(Accounts!$B$2:$B$9,MATCH(D957,Accounts!$A$2:$A$9,0))</f>
        <v>Cost of Goods Sold</v>
      </c>
      <c r="F957" t="str">
        <f>INDEX(Accounts!$C$2:$C$9,MATCH(D957,Accounts!$A$2:$A$9,0))</f>
        <v>COGS</v>
      </c>
      <c r="G957" t="s">
        <v>41</v>
      </c>
      <c r="H957" t="s">
        <v>46</v>
      </c>
      <c r="I957">
        <v>22532</v>
      </c>
    </row>
    <row r="958" spans="1:9" x14ac:dyDescent="0.3">
      <c r="A958" t="s">
        <v>1273</v>
      </c>
      <c r="B958" t="s">
        <v>1272</v>
      </c>
      <c r="C958">
        <f t="shared" si="14"/>
        <v>45901</v>
      </c>
      <c r="D958">
        <v>4100</v>
      </c>
      <c r="E958" t="str">
        <f>INDEX(Accounts!$B$2:$B$9,MATCH(D958,Accounts!$A$2:$A$9,0))</f>
        <v>Sales Returns &amp; Discounts</v>
      </c>
      <c r="F958" t="str">
        <f>INDEX(Accounts!$C$2:$C$9,MATCH(D958,Accounts!$A$2:$A$9,0))</f>
        <v>Contra Revenue</v>
      </c>
      <c r="G958" t="s">
        <v>43</v>
      </c>
      <c r="H958" t="s">
        <v>46</v>
      </c>
      <c r="I958">
        <v>3173</v>
      </c>
    </row>
    <row r="959" spans="1:9" x14ac:dyDescent="0.3">
      <c r="A959" t="s">
        <v>1274</v>
      </c>
      <c r="B959" t="s">
        <v>1272</v>
      </c>
      <c r="C959">
        <f t="shared" si="14"/>
        <v>45901</v>
      </c>
      <c r="D959">
        <v>6000</v>
      </c>
      <c r="E959" t="str">
        <f>INDEX(Accounts!$B$2:$B$9,MATCH(D959,Accounts!$A$2:$A$9,0))</f>
        <v>Salaries &amp; Wages</v>
      </c>
      <c r="F959" t="str">
        <f>INDEX(Accounts!$C$2:$C$9,MATCH(D959,Accounts!$A$2:$A$9,0))</f>
        <v>Operating Expense</v>
      </c>
      <c r="G959" t="s">
        <v>48</v>
      </c>
      <c r="H959" t="s">
        <v>46</v>
      </c>
      <c r="I959">
        <v>22776</v>
      </c>
    </row>
    <row r="960" spans="1:9" x14ac:dyDescent="0.3">
      <c r="A960" t="s">
        <v>1275</v>
      </c>
      <c r="B960" t="s">
        <v>1272</v>
      </c>
      <c r="C960">
        <f t="shared" si="14"/>
        <v>45901</v>
      </c>
      <c r="D960">
        <v>6000</v>
      </c>
      <c r="E960" t="str">
        <f>INDEX(Accounts!$B$2:$B$9,MATCH(D960,Accounts!$A$2:$A$9,0))</f>
        <v>Salaries &amp; Wages</v>
      </c>
      <c r="F960" t="str">
        <f>INDEX(Accounts!$C$2:$C$9,MATCH(D960,Accounts!$A$2:$A$9,0))</f>
        <v>Operating Expense</v>
      </c>
      <c r="G960" t="s">
        <v>45</v>
      </c>
      <c r="H960" t="s">
        <v>44</v>
      </c>
      <c r="I960">
        <v>23424</v>
      </c>
    </row>
    <row r="961" spans="1:9" x14ac:dyDescent="0.3">
      <c r="A961" t="s">
        <v>1276</v>
      </c>
      <c r="B961" t="s">
        <v>1272</v>
      </c>
      <c r="C961">
        <f t="shared" si="14"/>
        <v>45901</v>
      </c>
      <c r="D961">
        <v>6000</v>
      </c>
      <c r="E961" t="str">
        <f>INDEX(Accounts!$B$2:$B$9,MATCH(D961,Accounts!$A$2:$A$9,0))</f>
        <v>Salaries &amp; Wages</v>
      </c>
      <c r="F961" t="str">
        <f>INDEX(Accounts!$C$2:$C$9,MATCH(D961,Accounts!$A$2:$A$9,0))</f>
        <v>Operating Expense</v>
      </c>
      <c r="G961" t="s">
        <v>48</v>
      </c>
      <c r="H961" t="s">
        <v>44</v>
      </c>
      <c r="I961">
        <v>18650</v>
      </c>
    </row>
    <row r="962" spans="1:9" x14ac:dyDescent="0.3">
      <c r="A962" t="s">
        <v>1277</v>
      </c>
      <c r="B962" t="s">
        <v>1278</v>
      </c>
      <c r="C962">
        <f t="shared" ref="C962:C1025" si="15">DATE(YEAR(B962),MONTH(B962),1)</f>
        <v>45901</v>
      </c>
      <c r="D962">
        <v>6200</v>
      </c>
      <c r="E962" t="str">
        <f>INDEX(Accounts!$B$2:$B$9,MATCH(D962,Accounts!$A$2:$A$9,0))</f>
        <v>Rent &amp; Utilities</v>
      </c>
      <c r="F962" t="str">
        <f>INDEX(Accounts!$C$2:$C$9,MATCH(D962,Accounts!$A$2:$A$9,0))</f>
        <v>Operating Expense</v>
      </c>
      <c r="G962" t="s">
        <v>41</v>
      </c>
      <c r="H962" t="s">
        <v>46</v>
      </c>
      <c r="I962">
        <v>12839</v>
      </c>
    </row>
    <row r="963" spans="1:9" x14ac:dyDescent="0.3">
      <c r="A963" t="s">
        <v>1279</v>
      </c>
      <c r="B963" t="s">
        <v>1278</v>
      </c>
      <c r="C963">
        <f t="shared" si="15"/>
        <v>45901</v>
      </c>
      <c r="D963">
        <v>6400</v>
      </c>
      <c r="E963" t="str">
        <f>INDEX(Accounts!$B$2:$B$9,MATCH(D963,Accounts!$A$2:$A$9,0))</f>
        <v>Software &amp; Admin</v>
      </c>
      <c r="F963" t="str">
        <f>INDEX(Accounts!$C$2:$C$9,MATCH(D963,Accounts!$A$2:$A$9,0))</f>
        <v>Operating Expense</v>
      </c>
      <c r="G963" t="s">
        <v>41</v>
      </c>
      <c r="H963" t="s">
        <v>42</v>
      </c>
      <c r="I963">
        <v>2220</v>
      </c>
    </row>
    <row r="964" spans="1:9" x14ac:dyDescent="0.3">
      <c r="A964" t="s">
        <v>1280</v>
      </c>
      <c r="B964" t="s">
        <v>1281</v>
      </c>
      <c r="C964">
        <f t="shared" si="15"/>
        <v>45901</v>
      </c>
      <c r="D964">
        <v>6100</v>
      </c>
      <c r="E964" t="str">
        <f>INDEX(Accounts!$B$2:$B$9,MATCH(D964,Accounts!$A$2:$A$9,0))</f>
        <v>Marketing Expense</v>
      </c>
      <c r="F964" t="str">
        <f>INDEX(Accounts!$C$2:$C$9,MATCH(D964,Accounts!$A$2:$A$9,0))</f>
        <v>Operating Expense</v>
      </c>
      <c r="G964" t="s">
        <v>45</v>
      </c>
      <c r="H964" t="s">
        <v>42</v>
      </c>
      <c r="I964">
        <v>17659</v>
      </c>
    </row>
    <row r="965" spans="1:9" x14ac:dyDescent="0.3">
      <c r="A965" t="s">
        <v>1282</v>
      </c>
      <c r="B965" t="s">
        <v>1281</v>
      </c>
      <c r="C965">
        <f t="shared" si="15"/>
        <v>45901</v>
      </c>
      <c r="D965">
        <v>6000</v>
      </c>
      <c r="E965" t="str">
        <f>INDEX(Accounts!$B$2:$B$9,MATCH(D965,Accounts!$A$2:$A$9,0))</f>
        <v>Salaries &amp; Wages</v>
      </c>
      <c r="F965" t="str">
        <f>INDEX(Accounts!$C$2:$C$9,MATCH(D965,Accounts!$A$2:$A$9,0))</f>
        <v>Operating Expense</v>
      </c>
      <c r="G965" t="s">
        <v>43</v>
      </c>
      <c r="H965" t="s">
        <v>46</v>
      </c>
      <c r="I965">
        <v>16904</v>
      </c>
    </row>
    <row r="966" spans="1:9" x14ac:dyDescent="0.3">
      <c r="A966" t="s">
        <v>1283</v>
      </c>
      <c r="B966" t="s">
        <v>1281</v>
      </c>
      <c r="C966">
        <f t="shared" si="15"/>
        <v>45901</v>
      </c>
      <c r="D966">
        <v>5000</v>
      </c>
      <c r="E966" t="str">
        <f>INDEX(Accounts!$B$2:$B$9,MATCH(D966,Accounts!$A$2:$A$9,0))</f>
        <v>Cost of Goods Sold</v>
      </c>
      <c r="F966" t="str">
        <f>INDEX(Accounts!$C$2:$C$9,MATCH(D966,Accounts!$A$2:$A$9,0))</f>
        <v>COGS</v>
      </c>
      <c r="G966" t="s">
        <v>48</v>
      </c>
      <c r="H966" t="s">
        <v>46</v>
      </c>
      <c r="I966">
        <v>46588</v>
      </c>
    </row>
    <row r="967" spans="1:9" x14ac:dyDescent="0.3">
      <c r="A967" t="s">
        <v>1284</v>
      </c>
      <c r="B967" t="s">
        <v>1281</v>
      </c>
      <c r="C967">
        <f t="shared" si="15"/>
        <v>45901</v>
      </c>
      <c r="D967">
        <v>6300</v>
      </c>
      <c r="E967" t="str">
        <f>INDEX(Accounts!$B$2:$B$9,MATCH(D967,Accounts!$A$2:$A$9,0))</f>
        <v>Logistics Expense</v>
      </c>
      <c r="F967" t="str">
        <f>INDEX(Accounts!$C$2:$C$9,MATCH(D967,Accounts!$A$2:$A$9,0))</f>
        <v>Operating Expense</v>
      </c>
      <c r="G967" t="s">
        <v>41</v>
      </c>
      <c r="H967" t="s">
        <v>46</v>
      </c>
      <c r="I967">
        <v>4345</v>
      </c>
    </row>
    <row r="968" spans="1:9" x14ac:dyDescent="0.3">
      <c r="A968" t="s">
        <v>1285</v>
      </c>
      <c r="B968" t="s">
        <v>1281</v>
      </c>
      <c r="C968">
        <f t="shared" si="15"/>
        <v>45901</v>
      </c>
      <c r="D968">
        <v>6200</v>
      </c>
      <c r="E968" t="str">
        <f>INDEX(Accounts!$B$2:$B$9,MATCH(D968,Accounts!$A$2:$A$9,0))</f>
        <v>Rent &amp; Utilities</v>
      </c>
      <c r="F968" t="str">
        <f>INDEX(Accounts!$C$2:$C$9,MATCH(D968,Accounts!$A$2:$A$9,0))</f>
        <v>Operating Expense</v>
      </c>
      <c r="G968" t="s">
        <v>48</v>
      </c>
      <c r="H968" t="s">
        <v>46</v>
      </c>
      <c r="I968">
        <v>7105</v>
      </c>
    </row>
    <row r="969" spans="1:9" x14ac:dyDescent="0.3">
      <c r="A969" t="s">
        <v>1286</v>
      </c>
      <c r="B969" t="s">
        <v>1281</v>
      </c>
      <c r="C969">
        <f t="shared" si="15"/>
        <v>45901</v>
      </c>
      <c r="D969">
        <v>6000</v>
      </c>
      <c r="E969" t="str">
        <f>INDEX(Accounts!$B$2:$B$9,MATCH(D969,Accounts!$A$2:$A$9,0))</f>
        <v>Salaries &amp; Wages</v>
      </c>
      <c r="F969" t="str">
        <f>INDEX(Accounts!$C$2:$C$9,MATCH(D969,Accounts!$A$2:$A$9,0))</f>
        <v>Operating Expense</v>
      </c>
      <c r="G969" t="s">
        <v>43</v>
      </c>
      <c r="H969" t="s">
        <v>44</v>
      </c>
      <c r="I969">
        <v>8358</v>
      </c>
    </row>
    <row r="970" spans="1:9" x14ac:dyDescent="0.3">
      <c r="A970" t="s">
        <v>1287</v>
      </c>
      <c r="B970" t="s">
        <v>1281</v>
      </c>
      <c r="C970">
        <f t="shared" si="15"/>
        <v>45901</v>
      </c>
      <c r="D970">
        <v>6000</v>
      </c>
      <c r="E970" t="str">
        <f>INDEX(Accounts!$B$2:$B$9,MATCH(D970,Accounts!$A$2:$A$9,0))</f>
        <v>Salaries &amp; Wages</v>
      </c>
      <c r="F970" t="str">
        <f>INDEX(Accounts!$C$2:$C$9,MATCH(D970,Accounts!$A$2:$A$9,0))</f>
        <v>Operating Expense</v>
      </c>
      <c r="G970" t="s">
        <v>45</v>
      </c>
      <c r="H970" t="s">
        <v>42</v>
      </c>
      <c r="I970">
        <v>30432</v>
      </c>
    </row>
    <row r="971" spans="1:9" x14ac:dyDescent="0.3">
      <c r="A971" t="s">
        <v>1288</v>
      </c>
      <c r="B971" t="s">
        <v>1281</v>
      </c>
      <c r="C971">
        <f t="shared" si="15"/>
        <v>45901</v>
      </c>
      <c r="D971">
        <v>6300</v>
      </c>
      <c r="E971" t="str">
        <f>INDEX(Accounts!$B$2:$B$9,MATCH(D971,Accounts!$A$2:$A$9,0))</f>
        <v>Logistics Expense</v>
      </c>
      <c r="F971" t="str">
        <f>INDEX(Accounts!$C$2:$C$9,MATCH(D971,Accounts!$A$2:$A$9,0))</f>
        <v>Operating Expense</v>
      </c>
      <c r="G971" t="s">
        <v>45</v>
      </c>
      <c r="H971" t="s">
        <v>46</v>
      </c>
      <c r="I971">
        <v>6434</v>
      </c>
    </row>
    <row r="972" spans="1:9" x14ac:dyDescent="0.3">
      <c r="A972" t="s">
        <v>1289</v>
      </c>
      <c r="B972" t="s">
        <v>1281</v>
      </c>
      <c r="C972">
        <f t="shared" si="15"/>
        <v>45901</v>
      </c>
      <c r="D972">
        <v>5000</v>
      </c>
      <c r="E972" t="str">
        <f>INDEX(Accounts!$B$2:$B$9,MATCH(D972,Accounts!$A$2:$A$9,0))</f>
        <v>Cost of Goods Sold</v>
      </c>
      <c r="F972" t="str">
        <f>INDEX(Accounts!$C$2:$C$9,MATCH(D972,Accounts!$A$2:$A$9,0))</f>
        <v>COGS</v>
      </c>
      <c r="G972" t="s">
        <v>47</v>
      </c>
      <c r="H972" t="s">
        <v>44</v>
      </c>
      <c r="I972">
        <v>39903</v>
      </c>
    </row>
    <row r="973" spans="1:9" x14ac:dyDescent="0.3">
      <c r="A973" t="s">
        <v>1290</v>
      </c>
      <c r="B973" t="s">
        <v>1281</v>
      </c>
      <c r="C973">
        <f t="shared" si="15"/>
        <v>45901</v>
      </c>
      <c r="D973">
        <v>6100</v>
      </c>
      <c r="E973" t="str">
        <f>INDEX(Accounts!$B$2:$B$9,MATCH(D973,Accounts!$A$2:$A$9,0))</f>
        <v>Marketing Expense</v>
      </c>
      <c r="F973" t="str">
        <f>INDEX(Accounts!$C$2:$C$9,MATCH(D973,Accounts!$A$2:$A$9,0))</f>
        <v>Operating Expense</v>
      </c>
      <c r="G973" t="s">
        <v>41</v>
      </c>
      <c r="H973" t="s">
        <v>42</v>
      </c>
      <c r="I973">
        <v>7860</v>
      </c>
    </row>
    <row r="974" spans="1:9" x14ac:dyDescent="0.3">
      <c r="A974" t="s">
        <v>1291</v>
      </c>
      <c r="B974" t="s">
        <v>1292</v>
      </c>
      <c r="C974">
        <f t="shared" si="15"/>
        <v>45901</v>
      </c>
      <c r="D974">
        <v>6000</v>
      </c>
      <c r="E974" t="str">
        <f>INDEX(Accounts!$B$2:$B$9,MATCH(D974,Accounts!$A$2:$A$9,0))</f>
        <v>Salaries &amp; Wages</v>
      </c>
      <c r="F974" t="str">
        <f>INDEX(Accounts!$C$2:$C$9,MATCH(D974,Accounts!$A$2:$A$9,0))</f>
        <v>Operating Expense</v>
      </c>
      <c r="G974" t="s">
        <v>43</v>
      </c>
      <c r="H974" t="s">
        <v>42</v>
      </c>
      <c r="I974">
        <v>8112</v>
      </c>
    </row>
    <row r="975" spans="1:9" x14ac:dyDescent="0.3">
      <c r="A975" t="s">
        <v>1293</v>
      </c>
      <c r="B975" t="s">
        <v>1292</v>
      </c>
      <c r="C975">
        <f t="shared" si="15"/>
        <v>45901</v>
      </c>
      <c r="D975">
        <v>6400</v>
      </c>
      <c r="E975" t="str">
        <f>INDEX(Accounts!$B$2:$B$9,MATCH(D975,Accounts!$A$2:$A$9,0))</f>
        <v>Software &amp; Admin</v>
      </c>
      <c r="F975" t="str">
        <f>INDEX(Accounts!$C$2:$C$9,MATCH(D975,Accounts!$A$2:$A$9,0))</f>
        <v>Operating Expense</v>
      </c>
      <c r="G975" t="s">
        <v>41</v>
      </c>
      <c r="H975" t="s">
        <v>46</v>
      </c>
      <c r="I975">
        <v>1881</v>
      </c>
    </row>
    <row r="976" spans="1:9" x14ac:dyDescent="0.3">
      <c r="A976" t="s">
        <v>1294</v>
      </c>
      <c r="B976" t="s">
        <v>1292</v>
      </c>
      <c r="C976">
        <f t="shared" si="15"/>
        <v>45901</v>
      </c>
      <c r="D976">
        <v>5000</v>
      </c>
      <c r="E976" t="str">
        <f>INDEX(Accounts!$B$2:$B$9,MATCH(D976,Accounts!$A$2:$A$9,0))</f>
        <v>Cost of Goods Sold</v>
      </c>
      <c r="F976" t="str">
        <f>INDEX(Accounts!$C$2:$C$9,MATCH(D976,Accounts!$A$2:$A$9,0))</f>
        <v>COGS</v>
      </c>
      <c r="G976" t="s">
        <v>43</v>
      </c>
      <c r="H976" t="s">
        <v>46</v>
      </c>
      <c r="I976">
        <v>34438</v>
      </c>
    </row>
    <row r="977" spans="1:9" x14ac:dyDescent="0.3">
      <c r="A977" t="s">
        <v>1295</v>
      </c>
      <c r="B977" t="s">
        <v>1296</v>
      </c>
      <c r="C977">
        <f t="shared" si="15"/>
        <v>45901</v>
      </c>
      <c r="D977">
        <v>6000</v>
      </c>
      <c r="E977" t="str">
        <f>INDEX(Accounts!$B$2:$B$9,MATCH(D977,Accounts!$A$2:$A$9,0))</f>
        <v>Salaries &amp; Wages</v>
      </c>
      <c r="F977" t="str">
        <f>INDEX(Accounts!$C$2:$C$9,MATCH(D977,Accounts!$A$2:$A$9,0))</f>
        <v>Operating Expense</v>
      </c>
      <c r="G977" t="s">
        <v>48</v>
      </c>
      <c r="H977" t="s">
        <v>42</v>
      </c>
      <c r="I977">
        <v>5381</v>
      </c>
    </row>
    <row r="978" spans="1:9" x14ac:dyDescent="0.3">
      <c r="A978" t="s">
        <v>1297</v>
      </c>
      <c r="B978" t="s">
        <v>1296</v>
      </c>
      <c r="C978">
        <f t="shared" si="15"/>
        <v>45901</v>
      </c>
      <c r="D978">
        <v>6100</v>
      </c>
      <c r="E978" t="str">
        <f>INDEX(Accounts!$B$2:$B$9,MATCH(D978,Accounts!$A$2:$A$9,0))</f>
        <v>Marketing Expense</v>
      </c>
      <c r="F978" t="str">
        <f>INDEX(Accounts!$C$2:$C$9,MATCH(D978,Accounts!$A$2:$A$9,0))</f>
        <v>Operating Expense</v>
      </c>
      <c r="G978" t="s">
        <v>47</v>
      </c>
      <c r="H978" t="s">
        <v>46</v>
      </c>
      <c r="I978">
        <v>14072</v>
      </c>
    </row>
    <row r="979" spans="1:9" x14ac:dyDescent="0.3">
      <c r="A979" t="s">
        <v>1298</v>
      </c>
      <c r="B979" t="s">
        <v>1296</v>
      </c>
      <c r="C979">
        <f t="shared" si="15"/>
        <v>45901</v>
      </c>
      <c r="D979">
        <v>4000</v>
      </c>
      <c r="E979" t="str">
        <f>INDEX(Accounts!$B$2:$B$9,MATCH(D979,Accounts!$A$2:$A$9,0))</f>
        <v>Product Sales</v>
      </c>
      <c r="F979" t="str">
        <f>INDEX(Accounts!$C$2:$C$9,MATCH(D979,Accounts!$A$2:$A$9,0))</f>
        <v>Revenue</v>
      </c>
      <c r="G979" t="s">
        <v>41</v>
      </c>
      <c r="H979" t="s">
        <v>44</v>
      </c>
      <c r="I979">
        <v>143259</v>
      </c>
    </row>
    <row r="980" spans="1:9" x14ac:dyDescent="0.3">
      <c r="A980" t="s">
        <v>1299</v>
      </c>
      <c r="B980" t="s">
        <v>1300</v>
      </c>
      <c r="C980">
        <f t="shared" si="15"/>
        <v>45901</v>
      </c>
      <c r="D980">
        <v>6100</v>
      </c>
      <c r="E980" t="str">
        <f>INDEX(Accounts!$B$2:$B$9,MATCH(D980,Accounts!$A$2:$A$9,0))</f>
        <v>Marketing Expense</v>
      </c>
      <c r="F980" t="str">
        <f>INDEX(Accounts!$C$2:$C$9,MATCH(D980,Accounts!$A$2:$A$9,0))</f>
        <v>Operating Expense</v>
      </c>
      <c r="G980" t="s">
        <v>41</v>
      </c>
      <c r="H980" t="s">
        <v>42</v>
      </c>
      <c r="I980">
        <v>12868</v>
      </c>
    </row>
    <row r="981" spans="1:9" x14ac:dyDescent="0.3">
      <c r="A981" t="s">
        <v>1301</v>
      </c>
      <c r="B981" t="s">
        <v>1300</v>
      </c>
      <c r="C981">
        <f t="shared" si="15"/>
        <v>45901</v>
      </c>
      <c r="D981">
        <v>6000</v>
      </c>
      <c r="E981" t="str">
        <f>INDEX(Accounts!$B$2:$B$9,MATCH(D981,Accounts!$A$2:$A$9,0))</f>
        <v>Salaries &amp; Wages</v>
      </c>
      <c r="F981" t="str">
        <f>INDEX(Accounts!$C$2:$C$9,MATCH(D981,Accounts!$A$2:$A$9,0))</f>
        <v>Operating Expense</v>
      </c>
      <c r="G981" t="s">
        <v>47</v>
      </c>
      <c r="H981" t="s">
        <v>42</v>
      </c>
      <c r="I981">
        <v>20829</v>
      </c>
    </row>
    <row r="982" spans="1:9" x14ac:dyDescent="0.3">
      <c r="A982" t="s">
        <v>1302</v>
      </c>
      <c r="B982" t="s">
        <v>1300</v>
      </c>
      <c r="C982">
        <f t="shared" si="15"/>
        <v>45901</v>
      </c>
      <c r="D982">
        <v>4000</v>
      </c>
      <c r="E982" t="str">
        <f>INDEX(Accounts!$B$2:$B$9,MATCH(D982,Accounts!$A$2:$A$9,0))</f>
        <v>Product Sales</v>
      </c>
      <c r="F982" t="str">
        <f>INDEX(Accounts!$C$2:$C$9,MATCH(D982,Accounts!$A$2:$A$9,0))</f>
        <v>Revenue</v>
      </c>
      <c r="G982" t="s">
        <v>45</v>
      </c>
      <c r="H982" t="s">
        <v>44</v>
      </c>
      <c r="I982">
        <v>88148</v>
      </c>
    </row>
    <row r="983" spans="1:9" x14ac:dyDescent="0.3">
      <c r="A983" t="s">
        <v>1303</v>
      </c>
      <c r="B983" t="s">
        <v>1300</v>
      </c>
      <c r="C983">
        <f t="shared" si="15"/>
        <v>45901</v>
      </c>
      <c r="D983">
        <v>5000</v>
      </c>
      <c r="E983" t="str">
        <f>INDEX(Accounts!$B$2:$B$9,MATCH(D983,Accounts!$A$2:$A$9,0))</f>
        <v>Cost of Goods Sold</v>
      </c>
      <c r="F983" t="str">
        <f>INDEX(Accounts!$C$2:$C$9,MATCH(D983,Accounts!$A$2:$A$9,0))</f>
        <v>COGS</v>
      </c>
      <c r="G983" t="s">
        <v>41</v>
      </c>
      <c r="H983" t="s">
        <v>42</v>
      </c>
      <c r="I983">
        <v>9656</v>
      </c>
    </row>
    <row r="984" spans="1:9" x14ac:dyDescent="0.3">
      <c r="A984" t="s">
        <v>1304</v>
      </c>
      <c r="B984" t="s">
        <v>1305</v>
      </c>
      <c r="C984">
        <f t="shared" si="15"/>
        <v>45901</v>
      </c>
      <c r="D984">
        <v>6100</v>
      </c>
      <c r="E984" t="str">
        <f>INDEX(Accounts!$B$2:$B$9,MATCH(D984,Accounts!$A$2:$A$9,0))</f>
        <v>Marketing Expense</v>
      </c>
      <c r="F984" t="str">
        <f>INDEX(Accounts!$C$2:$C$9,MATCH(D984,Accounts!$A$2:$A$9,0))</f>
        <v>Operating Expense</v>
      </c>
      <c r="G984" t="s">
        <v>43</v>
      </c>
      <c r="H984" t="s">
        <v>44</v>
      </c>
      <c r="I984">
        <v>4996</v>
      </c>
    </row>
    <row r="985" spans="1:9" x14ac:dyDescent="0.3">
      <c r="A985" t="s">
        <v>1306</v>
      </c>
      <c r="B985" t="s">
        <v>1305</v>
      </c>
      <c r="C985">
        <f t="shared" si="15"/>
        <v>45901</v>
      </c>
      <c r="D985">
        <v>6200</v>
      </c>
      <c r="E985" t="str">
        <f>INDEX(Accounts!$B$2:$B$9,MATCH(D985,Accounts!$A$2:$A$9,0))</f>
        <v>Rent &amp; Utilities</v>
      </c>
      <c r="F985" t="str">
        <f>INDEX(Accounts!$C$2:$C$9,MATCH(D985,Accounts!$A$2:$A$9,0))</f>
        <v>Operating Expense</v>
      </c>
      <c r="G985" t="s">
        <v>41</v>
      </c>
      <c r="H985" t="s">
        <v>46</v>
      </c>
      <c r="I985">
        <v>14901</v>
      </c>
    </row>
    <row r="986" spans="1:9" x14ac:dyDescent="0.3">
      <c r="A986" t="s">
        <v>1307</v>
      </c>
      <c r="B986" t="s">
        <v>1308</v>
      </c>
      <c r="C986">
        <f t="shared" si="15"/>
        <v>45901</v>
      </c>
      <c r="D986">
        <v>6000</v>
      </c>
      <c r="E986" t="str">
        <f>INDEX(Accounts!$B$2:$B$9,MATCH(D986,Accounts!$A$2:$A$9,0))</f>
        <v>Salaries &amp; Wages</v>
      </c>
      <c r="F986" t="str">
        <f>INDEX(Accounts!$C$2:$C$9,MATCH(D986,Accounts!$A$2:$A$9,0))</f>
        <v>Operating Expense</v>
      </c>
      <c r="G986" t="s">
        <v>47</v>
      </c>
      <c r="H986" t="s">
        <v>46</v>
      </c>
      <c r="I986">
        <v>19357</v>
      </c>
    </row>
    <row r="987" spans="1:9" x14ac:dyDescent="0.3">
      <c r="A987" t="s">
        <v>1309</v>
      </c>
      <c r="B987" t="s">
        <v>1308</v>
      </c>
      <c r="C987">
        <f t="shared" si="15"/>
        <v>45901</v>
      </c>
      <c r="D987">
        <v>5000</v>
      </c>
      <c r="E987" t="str">
        <f>INDEX(Accounts!$B$2:$B$9,MATCH(D987,Accounts!$A$2:$A$9,0))</f>
        <v>Cost of Goods Sold</v>
      </c>
      <c r="F987" t="str">
        <f>INDEX(Accounts!$C$2:$C$9,MATCH(D987,Accounts!$A$2:$A$9,0))</f>
        <v>COGS</v>
      </c>
      <c r="G987" t="s">
        <v>47</v>
      </c>
      <c r="H987" t="s">
        <v>44</v>
      </c>
      <c r="I987">
        <v>11012</v>
      </c>
    </row>
    <row r="988" spans="1:9" x14ac:dyDescent="0.3">
      <c r="A988" t="s">
        <v>1310</v>
      </c>
      <c r="B988" t="s">
        <v>1308</v>
      </c>
      <c r="C988">
        <f t="shared" si="15"/>
        <v>45901</v>
      </c>
      <c r="D988">
        <v>6000</v>
      </c>
      <c r="E988" t="str">
        <f>INDEX(Accounts!$B$2:$B$9,MATCH(D988,Accounts!$A$2:$A$9,0))</f>
        <v>Salaries &amp; Wages</v>
      </c>
      <c r="F988" t="str">
        <f>INDEX(Accounts!$C$2:$C$9,MATCH(D988,Accounts!$A$2:$A$9,0))</f>
        <v>Operating Expense</v>
      </c>
      <c r="G988" t="s">
        <v>41</v>
      </c>
      <c r="H988" t="s">
        <v>42</v>
      </c>
      <c r="I988">
        <v>25452</v>
      </c>
    </row>
    <row r="989" spans="1:9" x14ac:dyDescent="0.3">
      <c r="A989" t="s">
        <v>1311</v>
      </c>
      <c r="B989" t="s">
        <v>1308</v>
      </c>
      <c r="C989">
        <f t="shared" si="15"/>
        <v>45901</v>
      </c>
      <c r="D989">
        <v>4000</v>
      </c>
      <c r="E989" t="str">
        <f>INDEX(Accounts!$B$2:$B$9,MATCH(D989,Accounts!$A$2:$A$9,0))</f>
        <v>Product Sales</v>
      </c>
      <c r="F989" t="str">
        <f>INDEX(Accounts!$C$2:$C$9,MATCH(D989,Accounts!$A$2:$A$9,0))</f>
        <v>Revenue</v>
      </c>
      <c r="G989" t="s">
        <v>41</v>
      </c>
      <c r="H989" t="s">
        <v>44</v>
      </c>
      <c r="I989">
        <v>38331</v>
      </c>
    </row>
    <row r="990" spans="1:9" x14ac:dyDescent="0.3">
      <c r="A990" t="s">
        <v>1312</v>
      </c>
      <c r="B990" t="s">
        <v>1308</v>
      </c>
      <c r="C990">
        <f t="shared" si="15"/>
        <v>45901</v>
      </c>
      <c r="D990">
        <v>6000</v>
      </c>
      <c r="E990" t="str">
        <f>INDEX(Accounts!$B$2:$B$9,MATCH(D990,Accounts!$A$2:$A$9,0))</f>
        <v>Salaries &amp; Wages</v>
      </c>
      <c r="F990" t="str">
        <f>INDEX(Accounts!$C$2:$C$9,MATCH(D990,Accounts!$A$2:$A$9,0))</f>
        <v>Operating Expense</v>
      </c>
      <c r="G990" t="s">
        <v>48</v>
      </c>
      <c r="H990" t="s">
        <v>46</v>
      </c>
      <c r="I990">
        <v>34021</v>
      </c>
    </row>
    <row r="991" spans="1:9" x14ac:dyDescent="0.3">
      <c r="A991" t="s">
        <v>1313</v>
      </c>
      <c r="B991" t="s">
        <v>1308</v>
      </c>
      <c r="C991">
        <f t="shared" si="15"/>
        <v>45901</v>
      </c>
      <c r="D991">
        <v>5000</v>
      </c>
      <c r="E991" t="str">
        <f>INDEX(Accounts!$B$2:$B$9,MATCH(D991,Accounts!$A$2:$A$9,0))</f>
        <v>Cost of Goods Sold</v>
      </c>
      <c r="F991" t="str">
        <f>INDEX(Accounts!$C$2:$C$9,MATCH(D991,Accounts!$A$2:$A$9,0))</f>
        <v>COGS</v>
      </c>
      <c r="G991" t="s">
        <v>41</v>
      </c>
      <c r="H991" t="s">
        <v>46</v>
      </c>
      <c r="I991">
        <v>27749</v>
      </c>
    </row>
    <row r="992" spans="1:9" x14ac:dyDescent="0.3">
      <c r="A992" t="s">
        <v>1314</v>
      </c>
      <c r="B992" t="s">
        <v>1315</v>
      </c>
      <c r="C992">
        <f t="shared" si="15"/>
        <v>45931</v>
      </c>
      <c r="D992">
        <v>4100</v>
      </c>
      <c r="E992" t="str">
        <f>INDEX(Accounts!$B$2:$B$9,MATCH(D992,Accounts!$A$2:$A$9,0))</f>
        <v>Sales Returns &amp; Discounts</v>
      </c>
      <c r="F992" t="str">
        <f>INDEX(Accounts!$C$2:$C$9,MATCH(D992,Accounts!$A$2:$A$9,0))</f>
        <v>Contra Revenue</v>
      </c>
      <c r="G992" t="s">
        <v>47</v>
      </c>
      <c r="H992" t="s">
        <v>46</v>
      </c>
      <c r="I992">
        <v>11499</v>
      </c>
    </row>
    <row r="993" spans="1:9" x14ac:dyDescent="0.3">
      <c r="A993" t="s">
        <v>1316</v>
      </c>
      <c r="B993" t="s">
        <v>1315</v>
      </c>
      <c r="C993">
        <f t="shared" si="15"/>
        <v>45931</v>
      </c>
      <c r="D993">
        <v>4000</v>
      </c>
      <c r="E993" t="str">
        <f>INDEX(Accounts!$B$2:$B$9,MATCH(D993,Accounts!$A$2:$A$9,0))</f>
        <v>Product Sales</v>
      </c>
      <c r="F993" t="str">
        <f>INDEX(Accounts!$C$2:$C$9,MATCH(D993,Accounts!$A$2:$A$9,0))</f>
        <v>Revenue</v>
      </c>
      <c r="G993" t="s">
        <v>47</v>
      </c>
      <c r="H993" t="s">
        <v>46</v>
      </c>
      <c r="I993">
        <v>135046</v>
      </c>
    </row>
    <row r="994" spans="1:9" x14ac:dyDescent="0.3">
      <c r="A994" t="s">
        <v>1317</v>
      </c>
      <c r="B994" t="s">
        <v>1315</v>
      </c>
      <c r="C994">
        <f t="shared" si="15"/>
        <v>45931</v>
      </c>
      <c r="D994">
        <v>6300</v>
      </c>
      <c r="E994" t="str">
        <f>INDEX(Accounts!$B$2:$B$9,MATCH(D994,Accounts!$A$2:$A$9,0))</f>
        <v>Logistics Expense</v>
      </c>
      <c r="F994" t="str">
        <f>INDEX(Accounts!$C$2:$C$9,MATCH(D994,Accounts!$A$2:$A$9,0))</f>
        <v>Operating Expense</v>
      </c>
      <c r="G994" t="s">
        <v>45</v>
      </c>
      <c r="H994" t="s">
        <v>46</v>
      </c>
      <c r="I994">
        <v>8569</v>
      </c>
    </row>
    <row r="995" spans="1:9" x14ac:dyDescent="0.3">
      <c r="A995" t="s">
        <v>1318</v>
      </c>
      <c r="B995" t="s">
        <v>1315</v>
      </c>
      <c r="C995">
        <f t="shared" si="15"/>
        <v>45931</v>
      </c>
      <c r="D995">
        <v>5000</v>
      </c>
      <c r="E995" t="str">
        <f>INDEX(Accounts!$B$2:$B$9,MATCH(D995,Accounts!$A$2:$A$9,0))</f>
        <v>Cost of Goods Sold</v>
      </c>
      <c r="F995" t="str">
        <f>INDEX(Accounts!$C$2:$C$9,MATCH(D995,Accounts!$A$2:$A$9,0))</f>
        <v>COGS</v>
      </c>
      <c r="G995" t="s">
        <v>41</v>
      </c>
      <c r="H995" t="s">
        <v>44</v>
      </c>
      <c r="I995">
        <v>49527</v>
      </c>
    </row>
    <row r="996" spans="1:9" x14ac:dyDescent="0.3">
      <c r="A996" t="s">
        <v>1319</v>
      </c>
      <c r="B996" t="s">
        <v>1315</v>
      </c>
      <c r="C996">
        <f t="shared" si="15"/>
        <v>45931</v>
      </c>
      <c r="D996">
        <v>6000</v>
      </c>
      <c r="E996" t="str">
        <f>INDEX(Accounts!$B$2:$B$9,MATCH(D996,Accounts!$A$2:$A$9,0))</f>
        <v>Salaries &amp; Wages</v>
      </c>
      <c r="F996" t="str">
        <f>INDEX(Accounts!$C$2:$C$9,MATCH(D996,Accounts!$A$2:$A$9,0))</f>
        <v>Operating Expense</v>
      </c>
      <c r="G996" t="s">
        <v>43</v>
      </c>
      <c r="H996" t="s">
        <v>42</v>
      </c>
      <c r="I996">
        <v>15663</v>
      </c>
    </row>
    <row r="997" spans="1:9" x14ac:dyDescent="0.3">
      <c r="A997" t="s">
        <v>1320</v>
      </c>
      <c r="B997" t="s">
        <v>1321</v>
      </c>
      <c r="C997">
        <f t="shared" si="15"/>
        <v>45931</v>
      </c>
      <c r="D997">
        <v>4000</v>
      </c>
      <c r="E997" t="str">
        <f>INDEX(Accounts!$B$2:$B$9,MATCH(D997,Accounts!$A$2:$A$9,0))</f>
        <v>Product Sales</v>
      </c>
      <c r="F997" t="str">
        <f>INDEX(Accounts!$C$2:$C$9,MATCH(D997,Accounts!$A$2:$A$9,0))</f>
        <v>Revenue</v>
      </c>
      <c r="G997" t="s">
        <v>45</v>
      </c>
      <c r="H997" t="s">
        <v>44</v>
      </c>
      <c r="I997">
        <v>151266</v>
      </c>
    </row>
    <row r="998" spans="1:9" x14ac:dyDescent="0.3">
      <c r="A998" t="s">
        <v>1322</v>
      </c>
      <c r="B998" t="s">
        <v>1321</v>
      </c>
      <c r="C998">
        <f t="shared" si="15"/>
        <v>45931</v>
      </c>
      <c r="D998">
        <v>4000</v>
      </c>
      <c r="E998" t="str">
        <f>INDEX(Accounts!$B$2:$B$9,MATCH(D998,Accounts!$A$2:$A$9,0))</f>
        <v>Product Sales</v>
      </c>
      <c r="F998" t="str">
        <f>INDEX(Accounts!$C$2:$C$9,MATCH(D998,Accounts!$A$2:$A$9,0))</f>
        <v>Revenue</v>
      </c>
      <c r="G998" t="s">
        <v>41</v>
      </c>
      <c r="H998" t="s">
        <v>42</v>
      </c>
      <c r="I998">
        <v>34897</v>
      </c>
    </row>
    <row r="999" spans="1:9" x14ac:dyDescent="0.3">
      <c r="A999" t="s">
        <v>1323</v>
      </c>
      <c r="B999" t="s">
        <v>1321</v>
      </c>
      <c r="C999">
        <f t="shared" si="15"/>
        <v>45931</v>
      </c>
      <c r="D999">
        <v>6000</v>
      </c>
      <c r="E999" t="str">
        <f>INDEX(Accounts!$B$2:$B$9,MATCH(D999,Accounts!$A$2:$A$9,0))</f>
        <v>Salaries &amp; Wages</v>
      </c>
      <c r="F999" t="str">
        <f>INDEX(Accounts!$C$2:$C$9,MATCH(D999,Accounts!$A$2:$A$9,0))</f>
        <v>Operating Expense</v>
      </c>
      <c r="G999" t="s">
        <v>41</v>
      </c>
      <c r="H999" t="s">
        <v>44</v>
      </c>
      <c r="I999">
        <v>16584</v>
      </c>
    </row>
    <row r="1000" spans="1:9" x14ac:dyDescent="0.3">
      <c r="A1000" t="s">
        <v>1324</v>
      </c>
      <c r="B1000" t="s">
        <v>1325</v>
      </c>
      <c r="C1000">
        <f t="shared" si="15"/>
        <v>45931</v>
      </c>
      <c r="D1000">
        <v>5000</v>
      </c>
      <c r="E1000" t="str">
        <f>INDEX(Accounts!$B$2:$B$9,MATCH(D1000,Accounts!$A$2:$A$9,0))</f>
        <v>Cost of Goods Sold</v>
      </c>
      <c r="F1000" t="str">
        <f>INDEX(Accounts!$C$2:$C$9,MATCH(D1000,Accounts!$A$2:$A$9,0))</f>
        <v>COGS</v>
      </c>
      <c r="G1000" t="s">
        <v>41</v>
      </c>
      <c r="H1000" t="s">
        <v>42</v>
      </c>
      <c r="I1000">
        <v>67643</v>
      </c>
    </row>
    <row r="1001" spans="1:9" x14ac:dyDescent="0.3">
      <c r="A1001" t="s">
        <v>1326</v>
      </c>
      <c r="B1001" t="s">
        <v>1325</v>
      </c>
      <c r="C1001">
        <f t="shared" si="15"/>
        <v>45931</v>
      </c>
      <c r="D1001">
        <v>6300</v>
      </c>
      <c r="E1001" t="str">
        <f>INDEX(Accounts!$B$2:$B$9,MATCH(D1001,Accounts!$A$2:$A$9,0))</f>
        <v>Logistics Expense</v>
      </c>
      <c r="F1001" t="str">
        <f>INDEX(Accounts!$C$2:$C$9,MATCH(D1001,Accounts!$A$2:$A$9,0))</f>
        <v>Operating Expense</v>
      </c>
      <c r="G1001" t="s">
        <v>45</v>
      </c>
      <c r="H1001" t="s">
        <v>46</v>
      </c>
      <c r="I1001">
        <v>9571</v>
      </c>
    </row>
    <row r="1002" spans="1:9" x14ac:dyDescent="0.3">
      <c r="A1002" t="s">
        <v>1327</v>
      </c>
      <c r="B1002" t="s">
        <v>1325</v>
      </c>
      <c r="C1002">
        <f t="shared" si="15"/>
        <v>45931</v>
      </c>
      <c r="D1002">
        <v>6100</v>
      </c>
      <c r="E1002" t="str">
        <f>INDEX(Accounts!$B$2:$B$9,MATCH(D1002,Accounts!$A$2:$A$9,0))</f>
        <v>Marketing Expense</v>
      </c>
      <c r="F1002" t="str">
        <f>INDEX(Accounts!$C$2:$C$9,MATCH(D1002,Accounts!$A$2:$A$9,0))</f>
        <v>Operating Expense</v>
      </c>
      <c r="G1002" t="s">
        <v>43</v>
      </c>
      <c r="H1002" t="s">
        <v>46</v>
      </c>
      <c r="I1002">
        <v>2137</v>
      </c>
    </row>
    <row r="1003" spans="1:9" x14ac:dyDescent="0.3">
      <c r="A1003" t="s">
        <v>1328</v>
      </c>
      <c r="B1003" t="s">
        <v>1329</v>
      </c>
      <c r="C1003">
        <f t="shared" si="15"/>
        <v>45931</v>
      </c>
      <c r="D1003">
        <v>5000</v>
      </c>
      <c r="E1003" t="str">
        <f>INDEX(Accounts!$B$2:$B$9,MATCH(D1003,Accounts!$A$2:$A$9,0))</f>
        <v>Cost of Goods Sold</v>
      </c>
      <c r="F1003" t="str">
        <f>INDEX(Accounts!$C$2:$C$9,MATCH(D1003,Accounts!$A$2:$A$9,0))</f>
        <v>COGS</v>
      </c>
      <c r="G1003" t="s">
        <v>43</v>
      </c>
      <c r="H1003" t="s">
        <v>44</v>
      </c>
      <c r="I1003">
        <v>31846</v>
      </c>
    </row>
    <row r="1004" spans="1:9" x14ac:dyDescent="0.3">
      <c r="A1004" t="s">
        <v>1330</v>
      </c>
      <c r="B1004" t="s">
        <v>1329</v>
      </c>
      <c r="C1004">
        <f t="shared" si="15"/>
        <v>45931</v>
      </c>
      <c r="D1004">
        <v>4000</v>
      </c>
      <c r="E1004" t="str">
        <f>INDEX(Accounts!$B$2:$B$9,MATCH(D1004,Accounts!$A$2:$A$9,0))</f>
        <v>Product Sales</v>
      </c>
      <c r="F1004" t="str">
        <f>INDEX(Accounts!$C$2:$C$9,MATCH(D1004,Accounts!$A$2:$A$9,0))</f>
        <v>Revenue</v>
      </c>
      <c r="G1004" t="s">
        <v>43</v>
      </c>
      <c r="H1004" t="s">
        <v>46</v>
      </c>
      <c r="I1004">
        <v>56019</v>
      </c>
    </row>
    <row r="1005" spans="1:9" x14ac:dyDescent="0.3">
      <c r="A1005" t="s">
        <v>1331</v>
      </c>
      <c r="B1005" t="s">
        <v>1332</v>
      </c>
      <c r="C1005">
        <f t="shared" si="15"/>
        <v>45931</v>
      </c>
      <c r="D1005">
        <v>4000</v>
      </c>
      <c r="E1005" t="str">
        <f>INDEX(Accounts!$B$2:$B$9,MATCH(D1005,Accounts!$A$2:$A$9,0))</f>
        <v>Product Sales</v>
      </c>
      <c r="F1005" t="str">
        <f>INDEX(Accounts!$C$2:$C$9,MATCH(D1005,Accounts!$A$2:$A$9,0))</f>
        <v>Revenue</v>
      </c>
      <c r="G1005" t="s">
        <v>43</v>
      </c>
      <c r="H1005" t="s">
        <v>44</v>
      </c>
      <c r="I1005">
        <v>80447</v>
      </c>
    </row>
    <row r="1006" spans="1:9" x14ac:dyDescent="0.3">
      <c r="A1006" t="s">
        <v>1333</v>
      </c>
      <c r="B1006" t="s">
        <v>1332</v>
      </c>
      <c r="C1006">
        <f t="shared" si="15"/>
        <v>45931</v>
      </c>
      <c r="D1006">
        <v>4000</v>
      </c>
      <c r="E1006" t="str">
        <f>INDEX(Accounts!$B$2:$B$9,MATCH(D1006,Accounts!$A$2:$A$9,0))</f>
        <v>Product Sales</v>
      </c>
      <c r="F1006" t="str">
        <f>INDEX(Accounts!$C$2:$C$9,MATCH(D1006,Accounts!$A$2:$A$9,0))</f>
        <v>Revenue</v>
      </c>
      <c r="G1006" t="s">
        <v>43</v>
      </c>
      <c r="H1006" t="s">
        <v>42</v>
      </c>
      <c r="I1006">
        <v>177737</v>
      </c>
    </row>
    <row r="1007" spans="1:9" x14ac:dyDescent="0.3">
      <c r="A1007" t="s">
        <v>1334</v>
      </c>
      <c r="B1007" t="s">
        <v>1332</v>
      </c>
      <c r="C1007">
        <f t="shared" si="15"/>
        <v>45931</v>
      </c>
      <c r="D1007">
        <v>6100</v>
      </c>
      <c r="E1007" t="str">
        <f>INDEX(Accounts!$B$2:$B$9,MATCH(D1007,Accounts!$A$2:$A$9,0))</f>
        <v>Marketing Expense</v>
      </c>
      <c r="F1007" t="str">
        <f>INDEX(Accounts!$C$2:$C$9,MATCH(D1007,Accounts!$A$2:$A$9,0))</f>
        <v>Operating Expense</v>
      </c>
      <c r="G1007" t="s">
        <v>43</v>
      </c>
      <c r="H1007" t="s">
        <v>44</v>
      </c>
      <c r="I1007">
        <v>11773</v>
      </c>
    </row>
    <row r="1008" spans="1:9" x14ac:dyDescent="0.3">
      <c r="A1008" t="s">
        <v>1335</v>
      </c>
      <c r="B1008" t="s">
        <v>1332</v>
      </c>
      <c r="C1008">
        <f t="shared" si="15"/>
        <v>45931</v>
      </c>
      <c r="D1008">
        <v>5000</v>
      </c>
      <c r="E1008" t="str">
        <f>INDEX(Accounts!$B$2:$B$9,MATCH(D1008,Accounts!$A$2:$A$9,0))</f>
        <v>Cost of Goods Sold</v>
      </c>
      <c r="F1008" t="str">
        <f>INDEX(Accounts!$C$2:$C$9,MATCH(D1008,Accounts!$A$2:$A$9,0))</f>
        <v>COGS</v>
      </c>
      <c r="G1008" t="s">
        <v>43</v>
      </c>
      <c r="H1008" t="s">
        <v>44</v>
      </c>
      <c r="I1008">
        <v>28096</v>
      </c>
    </row>
    <row r="1009" spans="1:9" x14ac:dyDescent="0.3">
      <c r="A1009" t="s">
        <v>1336</v>
      </c>
      <c r="B1009" t="s">
        <v>1332</v>
      </c>
      <c r="C1009">
        <f t="shared" si="15"/>
        <v>45931</v>
      </c>
      <c r="D1009">
        <v>5000</v>
      </c>
      <c r="E1009" t="str">
        <f>INDEX(Accounts!$B$2:$B$9,MATCH(D1009,Accounts!$A$2:$A$9,0))</f>
        <v>Cost of Goods Sold</v>
      </c>
      <c r="F1009" t="str">
        <f>INDEX(Accounts!$C$2:$C$9,MATCH(D1009,Accounts!$A$2:$A$9,0))</f>
        <v>COGS</v>
      </c>
      <c r="G1009" t="s">
        <v>41</v>
      </c>
      <c r="H1009" t="s">
        <v>46</v>
      </c>
      <c r="I1009">
        <v>57295</v>
      </c>
    </row>
    <row r="1010" spans="1:9" x14ac:dyDescent="0.3">
      <c r="A1010" t="s">
        <v>1337</v>
      </c>
      <c r="B1010" t="s">
        <v>1332</v>
      </c>
      <c r="C1010">
        <f t="shared" si="15"/>
        <v>45931</v>
      </c>
      <c r="D1010">
        <v>4000</v>
      </c>
      <c r="E1010" t="str">
        <f>INDEX(Accounts!$B$2:$B$9,MATCH(D1010,Accounts!$A$2:$A$9,0))</f>
        <v>Product Sales</v>
      </c>
      <c r="F1010" t="str">
        <f>INDEX(Accounts!$C$2:$C$9,MATCH(D1010,Accounts!$A$2:$A$9,0))</f>
        <v>Revenue</v>
      </c>
      <c r="G1010" t="s">
        <v>47</v>
      </c>
      <c r="H1010" t="s">
        <v>44</v>
      </c>
      <c r="I1010">
        <v>50244</v>
      </c>
    </row>
    <row r="1011" spans="1:9" x14ac:dyDescent="0.3">
      <c r="A1011" t="s">
        <v>1338</v>
      </c>
      <c r="B1011" t="s">
        <v>1339</v>
      </c>
      <c r="C1011">
        <f t="shared" si="15"/>
        <v>45931</v>
      </c>
      <c r="D1011">
        <v>6300</v>
      </c>
      <c r="E1011" t="str">
        <f>INDEX(Accounts!$B$2:$B$9,MATCH(D1011,Accounts!$A$2:$A$9,0))</f>
        <v>Logistics Expense</v>
      </c>
      <c r="F1011" t="str">
        <f>INDEX(Accounts!$C$2:$C$9,MATCH(D1011,Accounts!$A$2:$A$9,0))</f>
        <v>Operating Expense</v>
      </c>
      <c r="G1011" t="s">
        <v>41</v>
      </c>
      <c r="H1011" t="s">
        <v>46</v>
      </c>
      <c r="I1011">
        <v>12692</v>
      </c>
    </row>
    <row r="1012" spans="1:9" x14ac:dyDescent="0.3">
      <c r="A1012" t="s">
        <v>1340</v>
      </c>
      <c r="B1012" t="s">
        <v>1339</v>
      </c>
      <c r="C1012">
        <f t="shared" si="15"/>
        <v>45931</v>
      </c>
      <c r="D1012">
        <v>4000</v>
      </c>
      <c r="E1012" t="str">
        <f>INDEX(Accounts!$B$2:$B$9,MATCH(D1012,Accounts!$A$2:$A$9,0))</f>
        <v>Product Sales</v>
      </c>
      <c r="F1012" t="str">
        <f>INDEX(Accounts!$C$2:$C$9,MATCH(D1012,Accounts!$A$2:$A$9,0))</f>
        <v>Revenue</v>
      </c>
      <c r="G1012" t="s">
        <v>48</v>
      </c>
      <c r="H1012" t="s">
        <v>42</v>
      </c>
      <c r="I1012">
        <v>148990</v>
      </c>
    </row>
    <row r="1013" spans="1:9" x14ac:dyDescent="0.3">
      <c r="A1013" t="s">
        <v>1341</v>
      </c>
      <c r="B1013" t="s">
        <v>1342</v>
      </c>
      <c r="C1013">
        <f t="shared" si="15"/>
        <v>45931</v>
      </c>
      <c r="D1013">
        <v>4100</v>
      </c>
      <c r="E1013" t="str">
        <f>INDEX(Accounts!$B$2:$B$9,MATCH(D1013,Accounts!$A$2:$A$9,0))</f>
        <v>Sales Returns &amp; Discounts</v>
      </c>
      <c r="F1013" t="str">
        <f>INDEX(Accounts!$C$2:$C$9,MATCH(D1013,Accounts!$A$2:$A$9,0))</f>
        <v>Contra Revenue</v>
      </c>
      <c r="G1013" t="s">
        <v>43</v>
      </c>
      <c r="H1013" t="s">
        <v>46</v>
      </c>
      <c r="I1013">
        <v>6603</v>
      </c>
    </row>
    <row r="1014" spans="1:9" x14ac:dyDescent="0.3">
      <c r="A1014" t="s">
        <v>1343</v>
      </c>
      <c r="B1014" t="s">
        <v>1342</v>
      </c>
      <c r="C1014">
        <f t="shared" si="15"/>
        <v>45931</v>
      </c>
      <c r="D1014">
        <v>4000</v>
      </c>
      <c r="E1014" t="str">
        <f>INDEX(Accounts!$B$2:$B$9,MATCH(D1014,Accounts!$A$2:$A$9,0))</f>
        <v>Product Sales</v>
      </c>
      <c r="F1014" t="str">
        <f>INDEX(Accounts!$C$2:$C$9,MATCH(D1014,Accounts!$A$2:$A$9,0))</f>
        <v>Revenue</v>
      </c>
      <c r="G1014" t="s">
        <v>48</v>
      </c>
      <c r="H1014" t="s">
        <v>44</v>
      </c>
      <c r="I1014">
        <v>120924</v>
      </c>
    </row>
    <row r="1015" spans="1:9" x14ac:dyDescent="0.3">
      <c r="A1015" t="s">
        <v>1344</v>
      </c>
      <c r="B1015" t="s">
        <v>1345</v>
      </c>
      <c r="C1015">
        <f t="shared" si="15"/>
        <v>45931</v>
      </c>
      <c r="D1015">
        <v>6000</v>
      </c>
      <c r="E1015" t="str">
        <f>INDEX(Accounts!$B$2:$B$9,MATCH(D1015,Accounts!$A$2:$A$9,0))</f>
        <v>Salaries &amp; Wages</v>
      </c>
      <c r="F1015" t="str">
        <f>INDEX(Accounts!$C$2:$C$9,MATCH(D1015,Accounts!$A$2:$A$9,0))</f>
        <v>Operating Expense</v>
      </c>
      <c r="G1015" t="s">
        <v>48</v>
      </c>
      <c r="H1015" t="s">
        <v>44</v>
      </c>
      <c r="I1015">
        <v>26427</v>
      </c>
    </row>
    <row r="1016" spans="1:9" x14ac:dyDescent="0.3">
      <c r="A1016" t="s">
        <v>1346</v>
      </c>
      <c r="B1016" t="s">
        <v>1345</v>
      </c>
      <c r="C1016">
        <f t="shared" si="15"/>
        <v>45931</v>
      </c>
      <c r="D1016">
        <v>4000</v>
      </c>
      <c r="E1016" t="str">
        <f>INDEX(Accounts!$B$2:$B$9,MATCH(D1016,Accounts!$A$2:$A$9,0))</f>
        <v>Product Sales</v>
      </c>
      <c r="F1016" t="str">
        <f>INDEX(Accounts!$C$2:$C$9,MATCH(D1016,Accounts!$A$2:$A$9,0))</f>
        <v>Revenue</v>
      </c>
      <c r="G1016" t="s">
        <v>45</v>
      </c>
      <c r="H1016" t="s">
        <v>42</v>
      </c>
      <c r="I1016">
        <v>176515</v>
      </c>
    </row>
    <row r="1017" spans="1:9" x14ac:dyDescent="0.3">
      <c r="A1017" t="s">
        <v>1347</v>
      </c>
      <c r="B1017" t="s">
        <v>1345</v>
      </c>
      <c r="C1017">
        <f t="shared" si="15"/>
        <v>45931</v>
      </c>
      <c r="D1017">
        <v>6100</v>
      </c>
      <c r="E1017" t="str">
        <f>INDEX(Accounts!$B$2:$B$9,MATCH(D1017,Accounts!$A$2:$A$9,0))</f>
        <v>Marketing Expense</v>
      </c>
      <c r="F1017" t="str">
        <f>INDEX(Accounts!$C$2:$C$9,MATCH(D1017,Accounts!$A$2:$A$9,0))</f>
        <v>Operating Expense</v>
      </c>
      <c r="G1017" t="s">
        <v>43</v>
      </c>
      <c r="H1017" t="s">
        <v>44</v>
      </c>
      <c r="I1017">
        <v>8642</v>
      </c>
    </row>
    <row r="1018" spans="1:9" x14ac:dyDescent="0.3">
      <c r="A1018" t="s">
        <v>1348</v>
      </c>
      <c r="B1018" t="s">
        <v>1345</v>
      </c>
      <c r="C1018">
        <f t="shared" si="15"/>
        <v>45931</v>
      </c>
      <c r="D1018">
        <v>4000</v>
      </c>
      <c r="E1018" t="str">
        <f>INDEX(Accounts!$B$2:$B$9,MATCH(D1018,Accounts!$A$2:$A$9,0))</f>
        <v>Product Sales</v>
      </c>
      <c r="F1018" t="str">
        <f>INDEX(Accounts!$C$2:$C$9,MATCH(D1018,Accounts!$A$2:$A$9,0))</f>
        <v>Revenue</v>
      </c>
      <c r="G1018" t="s">
        <v>43</v>
      </c>
      <c r="H1018" t="s">
        <v>46</v>
      </c>
      <c r="I1018">
        <v>43975</v>
      </c>
    </row>
    <row r="1019" spans="1:9" x14ac:dyDescent="0.3">
      <c r="A1019" t="s">
        <v>1349</v>
      </c>
      <c r="B1019" t="s">
        <v>1345</v>
      </c>
      <c r="C1019">
        <f t="shared" si="15"/>
        <v>45931</v>
      </c>
      <c r="D1019">
        <v>5000</v>
      </c>
      <c r="E1019" t="str">
        <f>INDEX(Accounts!$B$2:$B$9,MATCH(D1019,Accounts!$A$2:$A$9,0))</f>
        <v>Cost of Goods Sold</v>
      </c>
      <c r="F1019" t="str">
        <f>INDEX(Accounts!$C$2:$C$9,MATCH(D1019,Accounts!$A$2:$A$9,0))</f>
        <v>COGS</v>
      </c>
      <c r="G1019" t="s">
        <v>48</v>
      </c>
      <c r="H1019" t="s">
        <v>46</v>
      </c>
      <c r="I1019">
        <v>26367</v>
      </c>
    </row>
    <row r="1020" spans="1:9" x14ac:dyDescent="0.3">
      <c r="A1020" t="s">
        <v>1350</v>
      </c>
      <c r="B1020" t="s">
        <v>1351</v>
      </c>
      <c r="C1020">
        <f t="shared" si="15"/>
        <v>45931</v>
      </c>
      <c r="D1020">
        <v>4000</v>
      </c>
      <c r="E1020" t="str">
        <f>INDEX(Accounts!$B$2:$B$9,MATCH(D1020,Accounts!$A$2:$A$9,0))</f>
        <v>Product Sales</v>
      </c>
      <c r="F1020" t="str">
        <f>INDEX(Accounts!$C$2:$C$9,MATCH(D1020,Accounts!$A$2:$A$9,0))</f>
        <v>Revenue</v>
      </c>
      <c r="G1020" t="s">
        <v>48</v>
      </c>
      <c r="H1020" t="s">
        <v>46</v>
      </c>
      <c r="I1020">
        <v>96695</v>
      </c>
    </row>
    <row r="1021" spans="1:9" x14ac:dyDescent="0.3">
      <c r="A1021" t="s">
        <v>1352</v>
      </c>
      <c r="B1021" t="s">
        <v>1353</v>
      </c>
      <c r="C1021">
        <f t="shared" si="15"/>
        <v>45931</v>
      </c>
      <c r="D1021">
        <v>4000</v>
      </c>
      <c r="E1021" t="str">
        <f>INDEX(Accounts!$B$2:$B$9,MATCH(D1021,Accounts!$A$2:$A$9,0))</f>
        <v>Product Sales</v>
      </c>
      <c r="F1021" t="str">
        <f>INDEX(Accounts!$C$2:$C$9,MATCH(D1021,Accounts!$A$2:$A$9,0))</f>
        <v>Revenue</v>
      </c>
      <c r="G1021" t="s">
        <v>41</v>
      </c>
      <c r="H1021" t="s">
        <v>42</v>
      </c>
      <c r="I1021">
        <v>47765</v>
      </c>
    </row>
    <row r="1022" spans="1:9" x14ac:dyDescent="0.3">
      <c r="A1022" t="s">
        <v>1354</v>
      </c>
      <c r="B1022" t="s">
        <v>1353</v>
      </c>
      <c r="C1022">
        <f t="shared" si="15"/>
        <v>45931</v>
      </c>
      <c r="D1022">
        <v>5000</v>
      </c>
      <c r="E1022" t="str">
        <f>INDEX(Accounts!$B$2:$B$9,MATCH(D1022,Accounts!$A$2:$A$9,0))</f>
        <v>Cost of Goods Sold</v>
      </c>
      <c r="F1022" t="str">
        <f>INDEX(Accounts!$C$2:$C$9,MATCH(D1022,Accounts!$A$2:$A$9,0))</f>
        <v>COGS</v>
      </c>
      <c r="G1022" t="s">
        <v>47</v>
      </c>
      <c r="H1022" t="s">
        <v>42</v>
      </c>
      <c r="I1022">
        <v>47738</v>
      </c>
    </row>
    <row r="1023" spans="1:9" x14ac:dyDescent="0.3">
      <c r="A1023" t="s">
        <v>1355</v>
      </c>
      <c r="B1023" t="s">
        <v>1353</v>
      </c>
      <c r="C1023">
        <f t="shared" si="15"/>
        <v>45931</v>
      </c>
      <c r="D1023">
        <v>6000</v>
      </c>
      <c r="E1023" t="str">
        <f>INDEX(Accounts!$B$2:$B$9,MATCH(D1023,Accounts!$A$2:$A$9,0))</f>
        <v>Salaries &amp; Wages</v>
      </c>
      <c r="F1023" t="str">
        <f>INDEX(Accounts!$C$2:$C$9,MATCH(D1023,Accounts!$A$2:$A$9,0))</f>
        <v>Operating Expense</v>
      </c>
      <c r="G1023" t="s">
        <v>43</v>
      </c>
      <c r="H1023" t="s">
        <v>46</v>
      </c>
      <c r="I1023">
        <v>33467</v>
      </c>
    </row>
    <row r="1024" spans="1:9" x14ac:dyDescent="0.3">
      <c r="A1024" t="s">
        <v>1356</v>
      </c>
      <c r="B1024" t="s">
        <v>1353</v>
      </c>
      <c r="C1024">
        <f t="shared" si="15"/>
        <v>45931</v>
      </c>
      <c r="D1024">
        <v>5000</v>
      </c>
      <c r="E1024" t="str">
        <f>INDEX(Accounts!$B$2:$B$9,MATCH(D1024,Accounts!$A$2:$A$9,0))</f>
        <v>Cost of Goods Sold</v>
      </c>
      <c r="F1024" t="str">
        <f>INDEX(Accounts!$C$2:$C$9,MATCH(D1024,Accounts!$A$2:$A$9,0))</f>
        <v>COGS</v>
      </c>
      <c r="G1024" t="s">
        <v>45</v>
      </c>
      <c r="H1024" t="s">
        <v>42</v>
      </c>
      <c r="I1024">
        <v>37962</v>
      </c>
    </row>
    <row r="1025" spans="1:9" x14ac:dyDescent="0.3">
      <c r="A1025" t="s">
        <v>1357</v>
      </c>
      <c r="B1025" t="s">
        <v>1353</v>
      </c>
      <c r="C1025">
        <f t="shared" si="15"/>
        <v>45931</v>
      </c>
      <c r="D1025">
        <v>6000</v>
      </c>
      <c r="E1025" t="str">
        <f>INDEX(Accounts!$B$2:$B$9,MATCH(D1025,Accounts!$A$2:$A$9,0))</f>
        <v>Salaries &amp; Wages</v>
      </c>
      <c r="F1025" t="str">
        <f>INDEX(Accounts!$C$2:$C$9,MATCH(D1025,Accounts!$A$2:$A$9,0))</f>
        <v>Operating Expense</v>
      </c>
      <c r="G1025" t="s">
        <v>41</v>
      </c>
      <c r="H1025" t="s">
        <v>46</v>
      </c>
      <c r="I1025">
        <v>13613</v>
      </c>
    </row>
    <row r="1026" spans="1:9" x14ac:dyDescent="0.3">
      <c r="A1026" t="s">
        <v>1358</v>
      </c>
      <c r="B1026" t="s">
        <v>1353</v>
      </c>
      <c r="C1026">
        <f t="shared" ref="C1026:C1089" si="16">DATE(YEAR(B1026),MONTH(B1026),1)</f>
        <v>45931</v>
      </c>
      <c r="D1026">
        <v>5000</v>
      </c>
      <c r="E1026" t="str">
        <f>INDEX(Accounts!$B$2:$B$9,MATCH(D1026,Accounts!$A$2:$A$9,0))</f>
        <v>Cost of Goods Sold</v>
      </c>
      <c r="F1026" t="str">
        <f>INDEX(Accounts!$C$2:$C$9,MATCH(D1026,Accounts!$A$2:$A$9,0))</f>
        <v>COGS</v>
      </c>
      <c r="G1026" t="s">
        <v>43</v>
      </c>
      <c r="H1026" t="s">
        <v>44</v>
      </c>
      <c r="I1026">
        <v>19789</v>
      </c>
    </row>
    <row r="1027" spans="1:9" x14ac:dyDescent="0.3">
      <c r="A1027" t="s">
        <v>1359</v>
      </c>
      <c r="B1027" t="s">
        <v>1360</v>
      </c>
      <c r="C1027">
        <f t="shared" si="16"/>
        <v>45931</v>
      </c>
      <c r="D1027">
        <v>6100</v>
      </c>
      <c r="E1027" t="str">
        <f>INDEX(Accounts!$B$2:$B$9,MATCH(D1027,Accounts!$A$2:$A$9,0))</f>
        <v>Marketing Expense</v>
      </c>
      <c r="F1027" t="str">
        <f>INDEX(Accounts!$C$2:$C$9,MATCH(D1027,Accounts!$A$2:$A$9,0))</f>
        <v>Operating Expense</v>
      </c>
      <c r="G1027" t="s">
        <v>41</v>
      </c>
      <c r="H1027" t="s">
        <v>42</v>
      </c>
      <c r="I1027">
        <v>11037</v>
      </c>
    </row>
    <row r="1028" spans="1:9" x14ac:dyDescent="0.3">
      <c r="A1028" t="s">
        <v>1361</v>
      </c>
      <c r="B1028" t="s">
        <v>1360</v>
      </c>
      <c r="C1028">
        <f t="shared" si="16"/>
        <v>45931</v>
      </c>
      <c r="D1028">
        <v>6000</v>
      </c>
      <c r="E1028" t="str">
        <f>INDEX(Accounts!$B$2:$B$9,MATCH(D1028,Accounts!$A$2:$A$9,0))</f>
        <v>Salaries &amp; Wages</v>
      </c>
      <c r="F1028" t="str">
        <f>INDEX(Accounts!$C$2:$C$9,MATCH(D1028,Accounts!$A$2:$A$9,0))</f>
        <v>Operating Expense</v>
      </c>
      <c r="G1028" t="s">
        <v>43</v>
      </c>
      <c r="H1028" t="s">
        <v>46</v>
      </c>
      <c r="I1028">
        <v>34433</v>
      </c>
    </row>
    <row r="1029" spans="1:9" x14ac:dyDescent="0.3">
      <c r="A1029" t="s">
        <v>1362</v>
      </c>
      <c r="B1029" t="s">
        <v>1360</v>
      </c>
      <c r="C1029">
        <f t="shared" si="16"/>
        <v>45931</v>
      </c>
      <c r="D1029">
        <v>5000</v>
      </c>
      <c r="E1029" t="str">
        <f>INDEX(Accounts!$B$2:$B$9,MATCH(D1029,Accounts!$A$2:$A$9,0))</f>
        <v>Cost of Goods Sold</v>
      </c>
      <c r="F1029" t="str">
        <f>INDEX(Accounts!$C$2:$C$9,MATCH(D1029,Accounts!$A$2:$A$9,0))</f>
        <v>COGS</v>
      </c>
      <c r="G1029" t="s">
        <v>47</v>
      </c>
      <c r="H1029" t="s">
        <v>44</v>
      </c>
      <c r="I1029">
        <v>59947</v>
      </c>
    </row>
    <row r="1030" spans="1:9" x14ac:dyDescent="0.3">
      <c r="A1030" t="s">
        <v>1363</v>
      </c>
      <c r="B1030" t="s">
        <v>1360</v>
      </c>
      <c r="C1030">
        <f t="shared" si="16"/>
        <v>45931</v>
      </c>
      <c r="D1030">
        <v>6200</v>
      </c>
      <c r="E1030" t="str">
        <f>INDEX(Accounts!$B$2:$B$9,MATCH(D1030,Accounts!$A$2:$A$9,0))</f>
        <v>Rent &amp; Utilities</v>
      </c>
      <c r="F1030" t="str">
        <f>INDEX(Accounts!$C$2:$C$9,MATCH(D1030,Accounts!$A$2:$A$9,0))</f>
        <v>Operating Expense</v>
      </c>
      <c r="G1030" t="s">
        <v>47</v>
      </c>
      <c r="H1030" t="s">
        <v>46</v>
      </c>
      <c r="I1030">
        <v>14420</v>
      </c>
    </row>
    <row r="1031" spans="1:9" x14ac:dyDescent="0.3">
      <c r="A1031" t="s">
        <v>1364</v>
      </c>
      <c r="B1031" t="s">
        <v>1360</v>
      </c>
      <c r="C1031">
        <f t="shared" si="16"/>
        <v>45931</v>
      </c>
      <c r="D1031">
        <v>4000</v>
      </c>
      <c r="E1031" t="str">
        <f>INDEX(Accounts!$B$2:$B$9,MATCH(D1031,Accounts!$A$2:$A$9,0))</f>
        <v>Product Sales</v>
      </c>
      <c r="F1031" t="str">
        <f>INDEX(Accounts!$C$2:$C$9,MATCH(D1031,Accounts!$A$2:$A$9,0))</f>
        <v>Revenue</v>
      </c>
      <c r="G1031" t="s">
        <v>43</v>
      </c>
      <c r="H1031" t="s">
        <v>42</v>
      </c>
      <c r="I1031">
        <v>162818</v>
      </c>
    </row>
    <row r="1032" spans="1:9" x14ac:dyDescent="0.3">
      <c r="A1032" t="s">
        <v>1365</v>
      </c>
      <c r="B1032" t="s">
        <v>1366</v>
      </c>
      <c r="C1032">
        <f t="shared" si="16"/>
        <v>45931</v>
      </c>
      <c r="D1032">
        <v>4000</v>
      </c>
      <c r="E1032" t="str">
        <f>INDEX(Accounts!$B$2:$B$9,MATCH(D1032,Accounts!$A$2:$A$9,0))</f>
        <v>Product Sales</v>
      </c>
      <c r="F1032" t="str">
        <f>INDEX(Accounts!$C$2:$C$9,MATCH(D1032,Accounts!$A$2:$A$9,0))</f>
        <v>Revenue</v>
      </c>
      <c r="G1032" t="s">
        <v>43</v>
      </c>
      <c r="H1032" t="s">
        <v>46</v>
      </c>
      <c r="I1032">
        <v>111917</v>
      </c>
    </row>
    <row r="1033" spans="1:9" x14ac:dyDescent="0.3">
      <c r="A1033" t="s">
        <v>1367</v>
      </c>
      <c r="B1033" t="s">
        <v>1366</v>
      </c>
      <c r="C1033">
        <f t="shared" si="16"/>
        <v>45931</v>
      </c>
      <c r="D1033">
        <v>4000</v>
      </c>
      <c r="E1033" t="str">
        <f>INDEX(Accounts!$B$2:$B$9,MATCH(D1033,Accounts!$A$2:$A$9,0))</f>
        <v>Product Sales</v>
      </c>
      <c r="F1033" t="str">
        <f>INDEX(Accounts!$C$2:$C$9,MATCH(D1033,Accounts!$A$2:$A$9,0))</f>
        <v>Revenue</v>
      </c>
      <c r="G1033" t="s">
        <v>47</v>
      </c>
      <c r="H1033" t="s">
        <v>44</v>
      </c>
      <c r="I1033">
        <v>116886</v>
      </c>
    </row>
    <row r="1034" spans="1:9" x14ac:dyDescent="0.3">
      <c r="A1034" t="s">
        <v>1368</v>
      </c>
      <c r="B1034" t="s">
        <v>1366</v>
      </c>
      <c r="C1034">
        <f t="shared" si="16"/>
        <v>45931</v>
      </c>
      <c r="D1034">
        <v>6000</v>
      </c>
      <c r="E1034" t="str">
        <f>INDEX(Accounts!$B$2:$B$9,MATCH(D1034,Accounts!$A$2:$A$9,0))</f>
        <v>Salaries &amp; Wages</v>
      </c>
      <c r="F1034" t="str">
        <f>INDEX(Accounts!$C$2:$C$9,MATCH(D1034,Accounts!$A$2:$A$9,0))</f>
        <v>Operating Expense</v>
      </c>
      <c r="G1034" t="s">
        <v>41</v>
      </c>
      <c r="H1034" t="s">
        <v>46</v>
      </c>
      <c r="I1034">
        <v>18879</v>
      </c>
    </row>
    <row r="1035" spans="1:9" x14ac:dyDescent="0.3">
      <c r="A1035" t="s">
        <v>1369</v>
      </c>
      <c r="B1035" t="s">
        <v>1366</v>
      </c>
      <c r="C1035">
        <f t="shared" si="16"/>
        <v>45931</v>
      </c>
      <c r="D1035">
        <v>6400</v>
      </c>
      <c r="E1035" t="str">
        <f>INDEX(Accounts!$B$2:$B$9,MATCH(D1035,Accounts!$A$2:$A$9,0))</f>
        <v>Software &amp; Admin</v>
      </c>
      <c r="F1035" t="str">
        <f>INDEX(Accounts!$C$2:$C$9,MATCH(D1035,Accounts!$A$2:$A$9,0))</f>
        <v>Operating Expense</v>
      </c>
      <c r="G1035" t="s">
        <v>43</v>
      </c>
      <c r="H1035" t="s">
        <v>42</v>
      </c>
      <c r="I1035">
        <v>5314</v>
      </c>
    </row>
    <row r="1036" spans="1:9" x14ac:dyDescent="0.3">
      <c r="A1036" t="s">
        <v>1370</v>
      </c>
      <c r="B1036" t="s">
        <v>1371</v>
      </c>
      <c r="C1036">
        <f t="shared" si="16"/>
        <v>45931</v>
      </c>
      <c r="D1036">
        <v>6400</v>
      </c>
      <c r="E1036" t="str">
        <f>INDEX(Accounts!$B$2:$B$9,MATCH(D1036,Accounts!$A$2:$A$9,0))</f>
        <v>Software &amp; Admin</v>
      </c>
      <c r="F1036" t="str">
        <f>INDEX(Accounts!$C$2:$C$9,MATCH(D1036,Accounts!$A$2:$A$9,0))</f>
        <v>Operating Expense</v>
      </c>
      <c r="G1036" t="s">
        <v>43</v>
      </c>
      <c r="H1036" t="s">
        <v>42</v>
      </c>
      <c r="I1036">
        <v>6565</v>
      </c>
    </row>
    <row r="1037" spans="1:9" x14ac:dyDescent="0.3">
      <c r="A1037" t="s">
        <v>1372</v>
      </c>
      <c r="B1037" t="s">
        <v>1371</v>
      </c>
      <c r="C1037">
        <f t="shared" si="16"/>
        <v>45931</v>
      </c>
      <c r="D1037">
        <v>6100</v>
      </c>
      <c r="E1037" t="str">
        <f>INDEX(Accounts!$B$2:$B$9,MATCH(D1037,Accounts!$A$2:$A$9,0))</f>
        <v>Marketing Expense</v>
      </c>
      <c r="F1037" t="str">
        <f>INDEX(Accounts!$C$2:$C$9,MATCH(D1037,Accounts!$A$2:$A$9,0))</f>
        <v>Operating Expense</v>
      </c>
      <c r="G1037" t="s">
        <v>41</v>
      </c>
      <c r="H1037" t="s">
        <v>44</v>
      </c>
      <c r="I1037">
        <v>11180</v>
      </c>
    </row>
    <row r="1038" spans="1:9" x14ac:dyDescent="0.3">
      <c r="A1038" t="s">
        <v>1373</v>
      </c>
      <c r="B1038" t="s">
        <v>1374</v>
      </c>
      <c r="C1038">
        <f t="shared" si="16"/>
        <v>45931</v>
      </c>
      <c r="D1038">
        <v>4000</v>
      </c>
      <c r="E1038" t="str">
        <f>INDEX(Accounts!$B$2:$B$9,MATCH(D1038,Accounts!$A$2:$A$9,0))</f>
        <v>Product Sales</v>
      </c>
      <c r="F1038" t="str">
        <f>INDEX(Accounts!$C$2:$C$9,MATCH(D1038,Accounts!$A$2:$A$9,0))</f>
        <v>Revenue</v>
      </c>
      <c r="G1038" t="s">
        <v>41</v>
      </c>
      <c r="H1038" t="s">
        <v>42</v>
      </c>
      <c r="I1038">
        <v>36221</v>
      </c>
    </row>
    <row r="1039" spans="1:9" x14ac:dyDescent="0.3">
      <c r="A1039" t="s">
        <v>1375</v>
      </c>
      <c r="B1039" t="s">
        <v>1374</v>
      </c>
      <c r="C1039">
        <f t="shared" si="16"/>
        <v>45931</v>
      </c>
      <c r="D1039">
        <v>6300</v>
      </c>
      <c r="E1039" t="str">
        <f>INDEX(Accounts!$B$2:$B$9,MATCH(D1039,Accounts!$A$2:$A$9,0))</f>
        <v>Logistics Expense</v>
      </c>
      <c r="F1039" t="str">
        <f>INDEX(Accounts!$C$2:$C$9,MATCH(D1039,Accounts!$A$2:$A$9,0))</f>
        <v>Operating Expense</v>
      </c>
      <c r="G1039" t="s">
        <v>47</v>
      </c>
      <c r="H1039" t="s">
        <v>42</v>
      </c>
      <c r="I1039">
        <v>12125</v>
      </c>
    </row>
    <row r="1040" spans="1:9" x14ac:dyDescent="0.3">
      <c r="A1040" t="s">
        <v>1376</v>
      </c>
      <c r="B1040" t="s">
        <v>1374</v>
      </c>
      <c r="C1040">
        <f t="shared" si="16"/>
        <v>45931</v>
      </c>
      <c r="D1040">
        <v>6300</v>
      </c>
      <c r="E1040" t="str">
        <f>INDEX(Accounts!$B$2:$B$9,MATCH(D1040,Accounts!$A$2:$A$9,0))</f>
        <v>Logistics Expense</v>
      </c>
      <c r="F1040" t="str">
        <f>INDEX(Accounts!$C$2:$C$9,MATCH(D1040,Accounts!$A$2:$A$9,0))</f>
        <v>Operating Expense</v>
      </c>
      <c r="G1040" t="s">
        <v>41</v>
      </c>
      <c r="H1040" t="s">
        <v>42</v>
      </c>
      <c r="I1040">
        <v>8707</v>
      </c>
    </row>
    <row r="1041" spans="1:9" x14ac:dyDescent="0.3">
      <c r="A1041" t="s">
        <v>1377</v>
      </c>
      <c r="B1041" t="s">
        <v>1374</v>
      </c>
      <c r="C1041">
        <f t="shared" si="16"/>
        <v>45931</v>
      </c>
      <c r="D1041">
        <v>6000</v>
      </c>
      <c r="E1041" t="str">
        <f>INDEX(Accounts!$B$2:$B$9,MATCH(D1041,Accounts!$A$2:$A$9,0))</f>
        <v>Salaries &amp; Wages</v>
      </c>
      <c r="F1041" t="str">
        <f>INDEX(Accounts!$C$2:$C$9,MATCH(D1041,Accounts!$A$2:$A$9,0))</f>
        <v>Operating Expense</v>
      </c>
      <c r="G1041" t="s">
        <v>43</v>
      </c>
      <c r="H1041" t="s">
        <v>46</v>
      </c>
      <c r="I1041">
        <v>10283</v>
      </c>
    </row>
    <row r="1042" spans="1:9" x14ac:dyDescent="0.3">
      <c r="A1042" t="s">
        <v>1378</v>
      </c>
      <c r="B1042" t="s">
        <v>1374</v>
      </c>
      <c r="C1042">
        <f t="shared" si="16"/>
        <v>45931</v>
      </c>
      <c r="D1042">
        <v>6000</v>
      </c>
      <c r="E1042" t="str">
        <f>INDEX(Accounts!$B$2:$B$9,MATCH(D1042,Accounts!$A$2:$A$9,0))</f>
        <v>Salaries &amp; Wages</v>
      </c>
      <c r="F1042" t="str">
        <f>INDEX(Accounts!$C$2:$C$9,MATCH(D1042,Accounts!$A$2:$A$9,0))</f>
        <v>Operating Expense</v>
      </c>
      <c r="G1042" t="s">
        <v>48</v>
      </c>
      <c r="H1042" t="s">
        <v>46</v>
      </c>
      <c r="I1042">
        <v>32116</v>
      </c>
    </row>
    <row r="1043" spans="1:9" x14ac:dyDescent="0.3">
      <c r="A1043" t="s">
        <v>1379</v>
      </c>
      <c r="B1043" t="s">
        <v>1380</v>
      </c>
      <c r="C1043">
        <f t="shared" si="16"/>
        <v>45931</v>
      </c>
      <c r="D1043">
        <v>4000</v>
      </c>
      <c r="E1043" t="str">
        <f>INDEX(Accounts!$B$2:$B$9,MATCH(D1043,Accounts!$A$2:$A$9,0))</f>
        <v>Product Sales</v>
      </c>
      <c r="F1043" t="str">
        <f>INDEX(Accounts!$C$2:$C$9,MATCH(D1043,Accounts!$A$2:$A$9,0))</f>
        <v>Revenue</v>
      </c>
      <c r="G1043" t="s">
        <v>41</v>
      </c>
      <c r="H1043" t="s">
        <v>46</v>
      </c>
      <c r="I1043">
        <v>68474</v>
      </c>
    </row>
    <row r="1044" spans="1:9" x14ac:dyDescent="0.3">
      <c r="A1044" t="s">
        <v>1381</v>
      </c>
      <c r="B1044" t="s">
        <v>1380</v>
      </c>
      <c r="C1044">
        <f t="shared" si="16"/>
        <v>45931</v>
      </c>
      <c r="D1044">
        <v>6400</v>
      </c>
      <c r="E1044" t="str">
        <f>INDEX(Accounts!$B$2:$B$9,MATCH(D1044,Accounts!$A$2:$A$9,0))</f>
        <v>Software &amp; Admin</v>
      </c>
      <c r="F1044" t="str">
        <f>INDEX(Accounts!$C$2:$C$9,MATCH(D1044,Accounts!$A$2:$A$9,0))</f>
        <v>Operating Expense</v>
      </c>
      <c r="G1044" t="s">
        <v>43</v>
      </c>
      <c r="H1044" t="s">
        <v>46</v>
      </c>
      <c r="I1044">
        <v>1305</v>
      </c>
    </row>
    <row r="1045" spans="1:9" x14ac:dyDescent="0.3">
      <c r="A1045" t="s">
        <v>1382</v>
      </c>
      <c r="B1045" t="s">
        <v>1380</v>
      </c>
      <c r="C1045">
        <f t="shared" si="16"/>
        <v>45931</v>
      </c>
      <c r="D1045">
        <v>5000</v>
      </c>
      <c r="E1045" t="str">
        <f>INDEX(Accounts!$B$2:$B$9,MATCH(D1045,Accounts!$A$2:$A$9,0))</f>
        <v>Cost of Goods Sold</v>
      </c>
      <c r="F1045" t="str">
        <f>INDEX(Accounts!$C$2:$C$9,MATCH(D1045,Accounts!$A$2:$A$9,0))</f>
        <v>COGS</v>
      </c>
      <c r="G1045" t="s">
        <v>47</v>
      </c>
      <c r="H1045" t="s">
        <v>46</v>
      </c>
      <c r="I1045">
        <v>42722</v>
      </c>
    </row>
    <row r="1046" spans="1:9" x14ac:dyDescent="0.3">
      <c r="A1046" t="s">
        <v>1383</v>
      </c>
      <c r="B1046" t="s">
        <v>1380</v>
      </c>
      <c r="C1046">
        <f t="shared" si="16"/>
        <v>45931</v>
      </c>
      <c r="D1046">
        <v>4000</v>
      </c>
      <c r="E1046" t="str">
        <f>INDEX(Accounts!$B$2:$B$9,MATCH(D1046,Accounts!$A$2:$A$9,0))</f>
        <v>Product Sales</v>
      </c>
      <c r="F1046" t="str">
        <f>INDEX(Accounts!$C$2:$C$9,MATCH(D1046,Accounts!$A$2:$A$9,0))</f>
        <v>Revenue</v>
      </c>
      <c r="G1046" t="s">
        <v>41</v>
      </c>
      <c r="H1046" t="s">
        <v>46</v>
      </c>
      <c r="I1046">
        <v>78849</v>
      </c>
    </row>
    <row r="1047" spans="1:9" x14ac:dyDescent="0.3">
      <c r="A1047" t="s">
        <v>1384</v>
      </c>
      <c r="B1047" t="s">
        <v>1380</v>
      </c>
      <c r="C1047">
        <f t="shared" si="16"/>
        <v>45931</v>
      </c>
      <c r="D1047">
        <v>4100</v>
      </c>
      <c r="E1047" t="str">
        <f>INDEX(Accounts!$B$2:$B$9,MATCH(D1047,Accounts!$A$2:$A$9,0))</f>
        <v>Sales Returns &amp; Discounts</v>
      </c>
      <c r="F1047" t="str">
        <f>INDEX(Accounts!$C$2:$C$9,MATCH(D1047,Accounts!$A$2:$A$9,0))</f>
        <v>Contra Revenue</v>
      </c>
      <c r="G1047" t="s">
        <v>48</v>
      </c>
      <c r="H1047" t="s">
        <v>42</v>
      </c>
      <c r="I1047">
        <v>3871</v>
      </c>
    </row>
    <row r="1048" spans="1:9" x14ac:dyDescent="0.3">
      <c r="A1048" t="s">
        <v>1385</v>
      </c>
      <c r="B1048" t="s">
        <v>1380</v>
      </c>
      <c r="C1048">
        <f t="shared" si="16"/>
        <v>45931</v>
      </c>
      <c r="D1048">
        <v>6100</v>
      </c>
      <c r="E1048" t="str">
        <f>INDEX(Accounts!$B$2:$B$9,MATCH(D1048,Accounts!$A$2:$A$9,0))</f>
        <v>Marketing Expense</v>
      </c>
      <c r="F1048" t="str">
        <f>INDEX(Accounts!$C$2:$C$9,MATCH(D1048,Accounts!$A$2:$A$9,0))</f>
        <v>Operating Expense</v>
      </c>
      <c r="G1048" t="s">
        <v>45</v>
      </c>
      <c r="H1048" t="s">
        <v>46</v>
      </c>
      <c r="I1048">
        <v>2590</v>
      </c>
    </row>
    <row r="1049" spans="1:9" x14ac:dyDescent="0.3">
      <c r="A1049" t="s">
        <v>1386</v>
      </c>
      <c r="B1049" t="s">
        <v>1380</v>
      </c>
      <c r="C1049">
        <f t="shared" si="16"/>
        <v>45931</v>
      </c>
      <c r="D1049">
        <v>4100</v>
      </c>
      <c r="E1049" t="str">
        <f>INDEX(Accounts!$B$2:$B$9,MATCH(D1049,Accounts!$A$2:$A$9,0))</f>
        <v>Sales Returns &amp; Discounts</v>
      </c>
      <c r="F1049" t="str">
        <f>INDEX(Accounts!$C$2:$C$9,MATCH(D1049,Accounts!$A$2:$A$9,0))</f>
        <v>Contra Revenue</v>
      </c>
      <c r="G1049" t="s">
        <v>48</v>
      </c>
      <c r="H1049" t="s">
        <v>46</v>
      </c>
      <c r="I1049">
        <v>5222</v>
      </c>
    </row>
    <row r="1050" spans="1:9" x14ac:dyDescent="0.3">
      <c r="A1050" t="s">
        <v>1387</v>
      </c>
      <c r="B1050" t="s">
        <v>1388</v>
      </c>
      <c r="C1050">
        <f t="shared" si="16"/>
        <v>45931</v>
      </c>
      <c r="D1050">
        <v>4000</v>
      </c>
      <c r="E1050" t="str">
        <f>INDEX(Accounts!$B$2:$B$9,MATCH(D1050,Accounts!$A$2:$A$9,0))</f>
        <v>Product Sales</v>
      </c>
      <c r="F1050" t="str">
        <f>INDEX(Accounts!$C$2:$C$9,MATCH(D1050,Accounts!$A$2:$A$9,0))</f>
        <v>Revenue</v>
      </c>
      <c r="G1050" t="s">
        <v>45</v>
      </c>
      <c r="H1050" t="s">
        <v>42</v>
      </c>
      <c r="I1050">
        <v>98561</v>
      </c>
    </row>
    <row r="1051" spans="1:9" x14ac:dyDescent="0.3">
      <c r="A1051" t="s">
        <v>1389</v>
      </c>
      <c r="B1051" t="s">
        <v>1388</v>
      </c>
      <c r="C1051">
        <f t="shared" si="16"/>
        <v>45931</v>
      </c>
      <c r="D1051">
        <v>6100</v>
      </c>
      <c r="E1051" t="str">
        <f>INDEX(Accounts!$B$2:$B$9,MATCH(D1051,Accounts!$A$2:$A$9,0))</f>
        <v>Marketing Expense</v>
      </c>
      <c r="F1051" t="str">
        <f>INDEX(Accounts!$C$2:$C$9,MATCH(D1051,Accounts!$A$2:$A$9,0))</f>
        <v>Operating Expense</v>
      </c>
      <c r="G1051" t="s">
        <v>47</v>
      </c>
      <c r="H1051" t="s">
        <v>44</v>
      </c>
      <c r="I1051">
        <v>6111</v>
      </c>
    </row>
    <row r="1052" spans="1:9" x14ac:dyDescent="0.3">
      <c r="A1052" t="s">
        <v>1390</v>
      </c>
      <c r="B1052" t="s">
        <v>1388</v>
      </c>
      <c r="C1052">
        <f t="shared" si="16"/>
        <v>45931</v>
      </c>
      <c r="D1052">
        <v>6300</v>
      </c>
      <c r="E1052" t="str">
        <f>INDEX(Accounts!$B$2:$B$9,MATCH(D1052,Accounts!$A$2:$A$9,0))</f>
        <v>Logistics Expense</v>
      </c>
      <c r="F1052" t="str">
        <f>INDEX(Accounts!$C$2:$C$9,MATCH(D1052,Accounts!$A$2:$A$9,0))</f>
        <v>Operating Expense</v>
      </c>
      <c r="G1052" t="s">
        <v>41</v>
      </c>
      <c r="H1052" t="s">
        <v>42</v>
      </c>
      <c r="I1052">
        <v>12813</v>
      </c>
    </row>
    <row r="1053" spans="1:9" x14ac:dyDescent="0.3">
      <c r="A1053" t="s">
        <v>1391</v>
      </c>
      <c r="B1053" t="s">
        <v>1388</v>
      </c>
      <c r="C1053">
        <f t="shared" si="16"/>
        <v>45931</v>
      </c>
      <c r="D1053">
        <v>6300</v>
      </c>
      <c r="E1053" t="str">
        <f>INDEX(Accounts!$B$2:$B$9,MATCH(D1053,Accounts!$A$2:$A$9,0))</f>
        <v>Logistics Expense</v>
      </c>
      <c r="F1053" t="str">
        <f>INDEX(Accounts!$C$2:$C$9,MATCH(D1053,Accounts!$A$2:$A$9,0))</f>
        <v>Operating Expense</v>
      </c>
      <c r="G1053" t="s">
        <v>41</v>
      </c>
      <c r="H1053" t="s">
        <v>42</v>
      </c>
      <c r="I1053">
        <v>8246</v>
      </c>
    </row>
    <row r="1054" spans="1:9" x14ac:dyDescent="0.3">
      <c r="A1054" t="s">
        <v>1392</v>
      </c>
      <c r="B1054" t="s">
        <v>1393</v>
      </c>
      <c r="C1054">
        <f t="shared" si="16"/>
        <v>45931</v>
      </c>
      <c r="D1054">
        <v>6000</v>
      </c>
      <c r="E1054" t="str">
        <f>INDEX(Accounts!$B$2:$B$9,MATCH(D1054,Accounts!$A$2:$A$9,0))</f>
        <v>Salaries &amp; Wages</v>
      </c>
      <c r="F1054" t="str">
        <f>INDEX(Accounts!$C$2:$C$9,MATCH(D1054,Accounts!$A$2:$A$9,0))</f>
        <v>Operating Expense</v>
      </c>
      <c r="G1054" t="s">
        <v>47</v>
      </c>
      <c r="H1054" t="s">
        <v>44</v>
      </c>
      <c r="I1054">
        <v>10525</v>
      </c>
    </row>
    <row r="1055" spans="1:9" x14ac:dyDescent="0.3">
      <c r="A1055" t="s">
        <v>1394</v>
      </c>
      <c r="B1055" t="s">
        <v>1393</v>
      </c>
      <c r="C1055">
        <f t="shared" si="16"/>
        <v>45931</v>
      </c>
      <c r="D1055">
        <v>6000</v>
      </c>
      <c r="E1055" t="str">
        <f>INDEX(Accounts!$B$2:$B$9,MATCH(D1055,Accounts!$A$2:$A$9,0))</f>
        <v>Salaries &amp; Wages</v>
      </c>
      <c r="F1055" t="str">
        <f>INDEX(Accounts!$C$2:$C$9,MATCH(D1055,Accounts!$A$2:$A$9,0))</f>
        <v>Operating Expense</v>
      </c>
      <c r="G1055" t="s">
        <v>41</v>
      </c>
      <c r="H1055" t="s">
        <v>46</v>
      </c>
      <c r="I1055">
        <v>6284</v>
      </c>
    </row>
    <row r="1056" spans="1:9" x14ac:dyDescent="0.3">
      <c r="A1056" t="s">
        <v>1395</v>
      </c>
      <c r="B1056" t="s">
        <v>1393</v>
      </c>
      <c r="C1056">
        <f t="shared" si="16"/>
        <v>45931</v>
      </c>
      <c r="D1056">
        <v>4000</v>
      </c>
      <c r="E1056" t="str">
        <f>INDEX(Accounts!$B$2:$B$9,MATCH(D1056,Accounts!$A$2:$A$9,0))</f>
        <v>Product Sales</v>
      </c>
      <c r="F1056" t="str">
        <f>INDEX(Accounts!$C$2:$C$9,MATCH(D1056,Accounts!$A$2:$A$9,0))</f>
        <v>Revenue</v>
      </c>
      <c r="G1056" t="s">
        <v>43</v>
      </c>
      <c r="H1056" t="s">
        <v>42</v>
      </c>
      <c r="I1056">
        <v>53461</v>
      </c>
    </row>
    <row r="1057" spans="1:9" x14ac:dyDescent="0.3">
      <c r="A1057" t="s">
        <v>1396</v>
      </c>
      <c r="B1057" t="s">
        <v>1393</v>
      </c>
      <c r="C1057">
        <f t="shared" si="16"/>
        <v>45931</v>
      </c>
      <c r="D1057">
        <v>6200</v>
      </c>
      <c r="E1057" t="str">
        <f>INDEX(Accounts!$B$2:$B$9,MATCH(D1057,Accounts!$A$2:$A$9,0))</f>
        <v>Rent &amp; Utilities</v>
      </c>
      <c r="F1057" t="str">
        <f>INDEX(Accounts!$C$2:$C$9,MATCH(D1057,Accounts!$A$2:$A$9,0))</f>
        <v>Operating Expense</v>
      </c>
      <c r="G1057" t="s">
        <v>48</v>
      </c>
      <c r="H1057" t="s">
        <v>46</v>
      </c>
      <c r="I1057">
        <v>12439</v>
      </c>
    </row>
    <row r="1058" spans="1:9" x14ac:dyDescent="0.3">
      <c r="A1058" t="s">
        <v>1397</v>
      </c>
      <c r="B1058" t="s">
        <v>1393</v>
      </c>
      <c r="C1058">
        <f t="shared" si="16"/>
        <v>45931</v>
      </c>
      <c r="D1058">
        <v>5000</v>
      </c>
      <c r="E1058" t="str">
        <f>INDEX(Accounts!$B$2:$B$9,MATCH(D1058,Accounts!$A$2:$A$9,0))</f>
        <v>Cost of Goods Sold</v>
      </c>
      <c r="F1058" t="str">
        <f>INDEX(Accounts!$C$2:$C$9,MATCH(D1058,Accounts!$A$2:$A$9,0))</f>
        <v>COGS</v>
      </c>
      <c r="G1058" t="s">
        <v>41</v>
      </c>
      <c r="H1058" t="s">
        <v>46</v>
      </c>
      <c r="I1058">
        <v>34047</v>
      </c>
    </row>
    <row r="1059" spans="1:9" x14ac:dyDescent="0.3">
      <c r="A1059" t="s">
        <v>1398</v>
      </c>
      <c r="B1059" t="s">
        <v>1393</v>
      </c>
      <c r="C1059">
        <f t="shared" si="16"/>
        <v>45931</v>
      </c>
      <c r="D1059">
        <v>5000</v>
      </c>
      <c r="E1059" t="str">
        <f>INDEX(Accounts!$B$2:$B$9,MATCH(D1059,Accounts!$A$2:$A$9,0))</f>
        <v>Cost of Goods Sold</v>
      </c>
      <c r="F1059" t="str">
        <f>INDEX(Accounts!$C$2:$C$9,MATCH(D1059,Accounts!$A$2:$A$9,0))</f>
        <v>COGS</v>
      </c>
      <c r="G1059" t="s">
        <v>45</v>
      </c>
      <c r="H1059" t="s">
        <v>46</v>
      </c>
      <c r="I1059">
        <v>17048</v>
      </c>
    </row>
    <row r="1060" spans="1:9" x14ac:dyDescent="0.3">
      <c r="A1060" t="s">
        <v>1399</v>
      </c>
      <c r="B1060" t="s">
        <v>1393</v>
      </c>
      <c r="C1060">
        <f t="shared" si="16"/>
        <v>45931</v>
      </c>
      <c r="D1060">
        <v>4000</v>
      </c>
      <c r="E1060" t="str">
        <f>INDEX(Accounts!$B$2:$B$9,MATCH(D1060,Accounts!$A$2:$A$9,0))</f>
        <v>Product Sales</v>
      </c>
      <c r="F1060" t="str">
        <f>INDEX(Accounts!$C$2:$C$9,MATCH(D1060,Accounts!$A$2:$A$9,0))</f>
        <v>Revenue</v>
      </c>
      <c r="G1060" t="s">
        <v>41</v>
      </c>
      <c r="H1060" t="s">
        <v>46</v>
      </c>
      <c r="I1060">
        <v>42987</v>
      </c>
    </row>
    <row r="1061" spans="1:9" x14ac:dyDescent="0.3">
      <c r="A1061" t="s">
        <v>1400</v>
      </c>
      <c r="B1061" t="s">
        <v>1393</v>
      </c>
      <c r="C1061">
        <f t="shared" si="16"/>
        <v>45931</v>
      </c>
      <c r="D1061">
        <v>4000</v>
      </c>
      <c r="E1061" t="str">
        <f>INDEX(Accounts!$B$2:$B$9,MATCH(D1061,Accounts!$A$2:$A$9,0))</f>
        <v>Product Sales</v>
      </c>
      <c r="F1061" t="str">
        <f>INDEX(Accounts!$C$2:$C$9,MATCH(D1061,Accounts!$A$2:$A$9,0))</f>
        <v>Revenue</v>
      </c>
      <c r="G1061" t="s">
        <v>43</v>
      </c>
      <c r="H1061" t="s">
        <v>42</v>
      </c>
      <c r="I1061">
        <v>51180</v>
      </c>
    </row>
    <row r="1062" spans="1:9" x14ac:dyDescent="0.3">
      <c r="A1062" t="s">
        <v>1401</v>
      </c>
      <c r="B1062" t="s">
        <v>1402</v>
      </c>
      <c r="C1062">
        <f t="shared" si="16"/>
        <v>45931</v>
      </c>
      <c r="D1062">
        <v>4000</v>
      </c>
      <c r="E1062" t="str">
        <f>INDEX(Accounts!$B$2:$B$9,MATCH(D1062,Accounts!$A$2:$A$9,0))</f>
        <v>Product Sales</v>
      </c>
      <c r="F1062" t="str">
        <f>INDEX(Accounts!$C$2:$C$9,MATCH(D1062,Accounts!$A$2:$A$9,0))</f>
        <v>Revenue</v>
      </c>
      <c r="G1062" t="s">
        <v>47</v>
      </c>
      <c r="H1062" t="s">
        <v>42</v>
      </c>
      <c r="I1062">
        <v>151429</v>
      </c>
    </row>
    <row r="1063" spans="1:9" x14ac:dyDescent="0.3">
      <c r="A1063" t="s">
        <v>1403</v>
      </c>
      <c r="B1063" t="s">
        <v>1404</v>
      </c>
      <c r="C1063">
        <f t="shared" si="16"/>
        <v>45931</v>
      </c>
      <c r="D1063">
        <v>6200</v>
      </c>
      <c r="E1063" t="str">
        <f>INDEX(Accounts!$B$2:$B$9,MATCH(D1063,Accounts!$A$2:$A$9,0))</f>
        <v>Rent &amp; Utilities</v>
      </c>
      <c r="F1063" t="str">
        <f>INDEX(Accounts!$C$2:$C$9,MATCH(D1063,Accounts!$A$2:$A$9,0))</f>
        <v>Operating Expense</v>
      </c>
      <c r="G1063" t="s">
        <v>41</v>
      </c>
      <c r="H1063" t="s">
        <v>42</v>
      </c>
      <c r="I1063">
        <v>5095</v>
      </c>
    </row>
    <row r="1064" spans="1:9" x14ac:dyDescent="0.3">
      <c r="A1064" t="s">
        <v>1405</v>
      </c>
      <c r="B1064" t="s">
        <v>1404</v>
      </c>
      <c r="C1064">
        <f t="shared" si="16"/>
        <v>45931</v>
      </c>
      <c r="D1064">
        <v>5000</v>
      </c>
      <c r="E1064" t="str">
        <f>INDEX(Accounts!$B$2:$B$9,MATCH(D1064,Accounts!$A$2:$A$9,0))</f>
        <v>Cost of Goods Sold</v>
      </c>
      <c r="F1064" t="str">
        <f>INDEX(Accounts!$C$2:$C$9,MATCH(D1064,Accounts!$A$2:$A$9,0))</f>
        <v>COGS</v>
      </c>
      <c r="G1064" t="s">
        <v>41</v>
      </c>
      <c r="H1064" t="s">
        <v>46</v>
      </c>
      <c r="I1064">
        <v>68998</v>
      </c>
    </row>
    <row r="1065" spans="1:9" x14ac:dyDescent="0.3">
      <c r="A1065" t="s">
        <v>1406</v>
      </c>
      <c r="B1065" t="s">
        <v>1407</v>
      </c>
      <c r="C1065">
        <f t="shared" si="16"/>
        <v>45931</v>
      </c>
      <c r="D1065">
        <v>4000</v>
      </c>
      <c r="E1065" t="str">
        <f>INDEX(Accounts!$B$2:$B$9,MATCH(D1065,Accounts!$A$2:$A$9,0))</f>
        <v>Product Sales</v>
      </c>
      <c r="F1065" t="str">
        <f>INDEX(Accounts!$C$2:$C$9,MATCH(D1065,Accounts!$A$2:$A$9,0))</f>
        <v>Revenue</v>
      </c>
      <c r="G1065" t="s">
        <v>48</v>
      </c>
      <c r="H1065" t="s">
        <v>44</v>
      </c>
      <c r="I1065">
        <v>126736</v>
      </c>
    </row>
    <row r="1066" spans="1:9" x14ac:dyDescent="0.3">
      <c r="A1066" t="s">
        <v>1408</v>
      </c>
      <c r="B1066" t="s">
        <v>1407</v>
      </c>
      <c r="C1066">
        <f t="shared" si="16"/>
        <v>45931</v>
      </c>
      <c r="D1066">
        <v>4000</v>
      </c>
      <c r="E1066" t="str">
        <f>INDEX(Accounts!$B$2:$B$9,MATCH(D1066,Accounts!$A$2:$A$9,0))</f>
        <v>Product Sales</v>
      </c>
      <c r="F1066" t="str">
        <f>INDEX(Accounts!$C$2:$C$9,MATCH(D1066,Accounts!$A$2:$A$9,0))</f>
        <v>Revenue</v>
      </c>
      <c r="G1066" t="s">
        <v>47</v>
      </c>
      <c r="H1066" t="s">
        <v>46</v>
      </c>
      <c r="I1066">
        <v>54711</v>
      </c>
    </row>
    <row r="1067" spans="1:9" x14ac:dyDescent="0.3">
      <c r="A1067" t="s">
        <v>1409</v>
      </c>
      <c r="B1067" t="s">
        <v>1407</v>
      </c>
      <c r="C1067">
        <f t="shared" si="16"/>
        <v>45931</v>
      </c>
      <c r="D1067">
        <v>6100</v>
      </c>
      <c r="E1067" t="str">
        <f>INDEX(Accounts!$B$2:$B$9,MATCH(D1067,Accounts!$A$2:$A$9,0))</f>
        <v>Marketing Expense</v>
      </c>
      <c r="F1067" t="str">
        <f>INDEX(Accounts!$C$2:$C$9,MATCH(D1067,Accounts!$A$2:$A$9,0))</f>
        <v>Operating Expense</v>
      </c>
      <c r="G1067" t="s">
        <v>41</v>
      </c>
      <c r="H1067" t="s">
        <v>46</v>
      </c>
      <c r="I1067">
        <v>2086</v>
      </c>
    </row>
    <row r="1068" spans="1:9" x14ac:dyDescent="0.3">
      <c r="A1068" t="s">
        <v>1410</v>
      </c>
      <c r="B1068" t="s">
        <v>1411</v>
      </c>
      <c r="C1068">
        <f t="shared" si="16"/>
        <v>45931</v>
      </c>
      <c r="D1068">
        <v>6200</v>
      </c>
      <c r="E1068" t="str">
        <f>INDEX(Accounts!$B$2:$B$9,MATCH(D1068,Accounts!$A$2:$A$9,0))</f>
        <v>Rent &amp; Utilities</v>
      </c>
      <c r="F1068" t="str">
        <f>INDEX(Accounts!$C$2:$C$9,MATCH(D1068,Accounts!$A$2:$A$9,0))</f>
        <v>Operating Expense</v>
      </c>
      <c r="G1068" t="s">
        <v>43</v>
      </c>
      <c r="H1068" t="s">
        <v>42</v>
      </c>
      <c r="I1068">
        <v>5535</v>
      </c>
    </row>
    <row r="1069" spans="1:9" x14ac:dyDescent="0.3">
      <c r="A1069" t="s">
        <v>1412</v>
      </c>
      <c r="B1069" t="s">
        <v>1413</v>
      </c>
      <c r="C1069">
        <f t="shared" si="16"/>
        <v>45931</v>
      </c>
      <c r="D1069">
        <v>6300</v>
      </c>
      <c r="E1069" t="str">
        <f>INDEX(Accounts!$B$2:$B$9,MATCH(D1069,Accounts!$A$2:$A$9,0))</f>
        <v>Logistics Expense</v>
      </c>
      <c r="F1069" t="str">
        <f>INDEX(Accounts!$C$2:$C$9,MATCH(D1069,Accounts!$A$2:$A$9,0))</f>
        <v>Operating Expense</v>
      </c>
      <c r="G1069" t="s">
        <v>41</v>
      </c>
      <c r="H1069" t="s">
        <v>42</v>
      </c>
      <c r="I1069">
        <v>1805</v>
      </c>
    </row>
    <row r="1070" spans="1:9" x14ac:dyDescent="0.3">
      <c r="A1070" t="s">
        <v>1414</v>
      </c>
      <c r="B1070" t="s">
        <v>1413</v>
      </c>
      <c r="C1070">
        <f t="shared" si="16"/>
        <v>45931</v>
      </c>
      <c r="D1070">
        <v>5000</v>
      </c>
      <c r="E1070" t="str">
        <f>INDEX(Accounts!$B$2:$B$9,MATCH(D1070,Accounts!$A$2:$A$9,0))</f>
        <v>Cost of Goods Sold</v>
      </c>
      <c r="F1070" t="str">
        <f>INDEX(Accounts!$C$2:$C$9,MATCH(D1070,Accounts!$A$2:$A$9,0))</f>
        <v>COGS</v>
      </c>
      <c r="G1070" t="s">
        <v>43</v>
      </c>
      <c r="H1070" t="s">
        <v>42</v>
      </c>
      <c r="I1070">
        <v>57903</v>
      </c>
    </row>
    <row r="1071" spans="1:9" x14ac:dyDescent="0.3">
      <c r="A1071" t="s">
        <v>1415</v>
      </c>
      <c r="B1071" t="s">
        <v>1413</v>
      </c>
      <c r="C1071">
        <f t="shared" si="16"/>
        <v>45931</v>
      </c>
      <c r="D1071">
        <v>5000</v>
      </c>
      <c r="E1071" t="str">
        <f>INDEX(Accounts!$B$2:$B$9,MATCH(D1071,Accounts!$A$2:$A$9,0))</f>
        <v>Cost of Goods Sold</v>
      </c>
      <c r="F1071" t="str">
        <f>INDEX(Accounts!$C$2:$C$9,MATCH(D1071,Accounts!$A$2:$A$9,0))</f>
        <v>COGS</v>
      </c>
      <c r="G1071" t="s">
        <v>48</v>
      </c>
      <c r="H1071" t="s">
        <v>46</v>
      </c>
      <c r="I1071">
        <v>51003</v>
      </c>
    </row>
    <row r="1072" spans="1:9" x14ac:dyDescent="0.3">
      <c r="A1072" t="s">
        <v>1416</v>
      </c>
      <c r="B1072" t="s">
        <v>1413</v>
      </c>
      <c r="C1072">
        <f t="shared" si="16"/>
        <v>45931</v>
      </c>
      <c r="D1072">
        <v>4000</v>
      </c>
      <c r="E1072" t="str">
        <f>INDEX(Accounts!$B$2:$B$9,MATCH(D1072,Accounts!$A$2:$A$9,0))</f>
        <v>Product Sales</v>
      </c>
      <c r="F1072" t="str">
        <f>INDEX(Accounts!$C$2:$C$9,MATCH(D1072,Accounts!$A$2:$A$9,0))</f>
        <v>Revenue</v>
      </c>
      <c r="G1072" t="s">
        <v>41</v>
      </c>
      <c r="H1072" t="s">
        <v>42</v>
      </c>
      <c r="I1072">
        <v>78154</v>
      </c>
    </row>
    <row r="1073" spans="1:9" x14ac:dyDescent="0.3">
      <c r="A1073" t="s">
        <v>1417</v>
      </c>
      <c r="B1073" t="s">
        <v>1413</v>
      </c>
      <c r="C1073">
        <f t="shared" si="16"/>
        <v>45931</v>
      </c>
      <c r="D1073">
        <v>4000</v>
      </c>
      <c r="E1073" t="str">
        <f>INDEX(Accounts!$B$2:$B$9,MATCH(D1073,Accounts!$A$2:$A$9,0))</f>
        <v>Product Sales</v>
      </c>
      <c r="F1073" t="str">
        <f>INDEX(Accounts!$C$2:$C$9,MATCH(D1073,Accounts!$A$2:$A$9,0))</f>
        <v>Revenue</v>
      </c>
      <c r="G1073" t="s">
        <v>41</v>
      </c>
      <c r="H1073" t="s">
        <v>44</v>
      </c>
      <c r="I1073">
        <v>124846</v>
      </c>
    </row>
    <row r="1074" spans="1:9" x14ac:dyDescent="0.3">
      <c r="A1074" t="s">
        <v>1418</v>
      </c>
      <c r="B1074" t="s">
        <v>1419</v>
      </c>
      <c r="C1074">
        <f t="shared" si="16"/>
        <v>45931</v>
      </c>
      <c r="D1074">
        <v>4000</v>
      </c>
      <c r="E1074" t="str">
        <f>INDEX(Accounts!$B$2:$B$9,MATCH(D1074,Accounts!$A$2:$A$9,0))</f>
        <v>Product Sales</v>
      </c>
      <c r="F1074" t="str">
        <f>INDEX(Accounts!$C$2:$C$9,MATCH(D1074,Accounts!$A$2:$A$9,0))</f>
        <v>Revenue</v>
      </c>
      <c r="G1074" t="s">
        <v>43</v>
      </c>
      <c r="H1074" t="s">
        <v>46</v>
      </c>
      <c r="I1074">
        <v>101283</v>
      </c>
    </row>
    <row r="1075" spans="1:9" x14ac:dyDescent="0.3">
      <c r="A1075" t="s">
        <v>1420</v>
      </c>
      <c r="B1075" t="s">
        <v>1419</v>
      </c>
      <c r="C1075">
        <f t="shared" si="16"/>
        <v>45931</v>
      </c>
      <c r="D1075">
        <v>5000</v>
      </c>
      <c r="E1075" t="str">
        <f>INDEX(Accounts!$B$2:$B$9,MATCH(D1075,Accounts!$A$2:$A$9,0))</f>
        <v>Cost of Goods Sold</v>
      </c>
      <c r="F1075" t="str">
        <f>INDEX(Accounts!$C$2:$C$9,MATCH(D1075,Accounts!$A$2:$A$9,0))</f>
        <v>COGS</v>
      </c>
      <c r="G1075" t="s">
        <v>43</v>
      </c>
      <c r="H1075" t="s">
        <v>42</v>
      </c>
      <c r="I1075">
        <v>45116</v>
      </c>
    </row>
    <row r="1076" spans="1:9" x14ac:dyDescent="0.3">
      <c r="A1076" t="s">
        <v>1421</v>
      </c>
      <c r="B1076" t="s">
        <v>1419</v>
      </c>
      <c r="C1076">
        <f t="shared" si="16"/>
        <v>45931</v>
      </c>
      <c r="D1076">
        <v>4000</v>
      </c>
      <c r="E1076" t="str">
        <f>INDEX(Accounts!$B$2:$B$9,MATCH(D1076,Accounts!$A$2:$A$9,0))</f>
        <v>Product Sales</v>
      </c>
      <c r="F1076" t="str">
        <f>INDEX(Accounts!$C$2:$C$9,MATCH(D1076,Accounts!$A$2:$A$9,0))</f>
        <v>Revenue</v>
      </c>
      <c r="G1076" t="s">
        <v>43</v>
      </c>
      <c r="H1076" t="s">
        <v>46</v>
      </c>
      <c r="I1076">
        <v>151476</v>
      </c>
    </row>
    <row r="1077" spans="1:9" x14ac:dyDescent="0.3">
      <c r="A1077" t="s">
        <v>1422</v>
      </c>
      <c r="B1077" t="s">
        <v>1423</v>
      </c>
      <c r="C1077">
        <f t="shared" si="16"/>
        <v>45931</v>
      </c>
      <c r="D1077">
        <v>6100</v>
      </c>
      <c r="E1077" t="str">
        <f>INDEX(Accounts!$B$2:$B$9,MATCH(D1077,Accounts!$A$2:$A$9,0))</f>
        <v>Marketing Expense</v>
      </c>
      <c r="F1077" t="str">
        <f>INDEX(Accounts!$C$2:$C$9,MATCH(D1077,Accounts!$A$2:$A$9,0))</f>
        <v>Operating Expense</v>
      </c>
      <c r="G1077" t="s">
        <v>41</v>
      </c>
      <c r="H1077" t="s">
        <v>42</v>
      </c>
      <c r="I1077">
        <v>10328</v>
      </c>
    </row>
    <row r="1078" spans="1:9" x14ac:dyDescent="0.3">
      <c r="A1078" t="s">
        <v>1424</v>
      </c>
      <c r="B1078" t="s">
        <v>1423</v>
      </c>
      <c r="C1078">
        <f t="shared" si="16"/>
        <v>45931</v>
      </c>
      <c r="D1078">
        <v>4000</v>
      </c>
      <c r="E1078" t="str">
        <f>INDEX(Accounts!$B$2:$B$9,MATCH(D1078,Accounts!$A$2:$A$9,0))</f>
        <v>Product Sales</v>
      </c>
      <c r="F1078" t="str">
        <f>INDEX(Accounts!$C$2:$C$9,MATCH(D1078,Accounts!$A$2:$A$9,0))</f>
        <v>Revenue</v>
      </c>
      <c r="G1078" t="s">
        <v>41</v>
      </c>
      <c r="H1078" t="s">
        <v>46</v>
      </c>
      <c r="I1078">
        <v>139131</v>
      </c>
    </row>
    <row r="1079" spans="1:9" x14ac:dyDescent="0.3">
      <c r="A1079" t="s">
        <v>1425</v>
      </c>
      <c r="B1079" t="s">
        <v>1423</v>
      </c>
      <c r="C1079">
        <f t="shared" si="16"/>
        <v>45931</v>
      </c>
      <c r="D1079">
        <v>5000</v>
      </c>
      <c r="E1079" t="str">
        <f>INDEX(Accounts!$B$2:$B$9,MATCH(D1079,Accounts!$A$2:$A$9,0))</f>
        <v>Cost of Goods Sold</v>
      </c>
      <c r="F1079" t="str">
        <f>INDEX(Accounts!$C$2:$C$9,MATCH(D1079,Accounts!$A$2:$A$9,0))</f>
        <v>COGS</v>
      </c>
      <c r="G1079" t="s">
        <v>41</v>
      </c>
      <c r="H1079" t="s">
        <v>46</v>
      </c>
      <c r="I1079">
        <v>41459</v>
      </c>
    </row>
    <row r="1080" spans="1:9" x14ac:dyDescent="0.3">
      <c r="A1080" t="s">
        <v>1426</v>
      </c>
      <c r="B1080" t="s">
        <v>1423</v>
      </c>
      <c r="C1080">
        <f t="shared" si="16"/>
        <v>45931</v>
      </c>
      <c r="D1080">
        <v>6400</v>
      </c>
      <c r="E1080" t="str">
        <f>INDEX(Accounts!$B$2:$B$9,MATCH(D1080,Accounts!$A$2:$A$9,0))</f>
        <v>Software &amp; Admin</v>
      </c>
      <c r="F1080" t="str">
        <f>INDEX(Accounts!$C$2:$C$9,MATCH(D1080,Accounts!$A$2:$A$9,0))</f>
        <v>Operating Expense</v>
      </c>
      <c r="G1080" t="s">
        <v>45</v>
      </c>
      <c r="H1080" t="s">
        <v>42</v>
      </c>
      <c r="I1080">
        <v>6172</v>
      </c>
    </row>
    <row r="1081" spans="1:9" x14ac:dyDescent="0.3">
      <c r="A1081" t="s">
        <v>1427</v>
      </c>
      <c r="B1081" t="s">
        <v>1423</v>
      </c>
      <c r="C1081">
        <f t="shared" si="16"/>
        <v>45931</v>
      </c>
      <c r="D1081">
        <v>5000</v>
      </c>
      <c r="E1081" t="str">
        <f>INDEX(Accounts!$B$2:$B$9,MATCH(D1081,Accounts!$A$2:$A$9,0))</f>
        <v>Cost of Goods Sold</v>
      </c>
      <c r="F1081" t="str">
        <f>INDEX(Accounts!$C$2:$C$9,MATCH(D1081,Accounts!$A$2:$A$9,0))</f>
        <v>COGS</v>
      </c>
      <c r="G1081" t="s">
        <v>48</v>
      </c>
      <c r="H1081" t="s">
        <v>42</v>
      </c>
      <c r="I1081">
        <v>40930</v>
      </c>
    </row>
    <row r="1082" spans="1:9" x14ac:dyDescent="0.3">
      <c r="A1082" t="s">
        <v>1428</v>
      </c>
      <c r="B1082" t="s">
        <v>1423</v>
      </c>
      <c r="C1082">
        <f t="shared" si="16"/>
        <v>45931</v>
      </c>
      <c r="D1082">
        <v>4000</v>
      </c>
      <c r="E1082" t="str">
        <f>INDEX(Accounts!$B$2:$B$9,MATCH(D1082,Accounts!$A$2:$A$9,0))</f>
        <v>Product Sales</v>
      </c>
      <c r="F1082" t="str">
        <f>INDEX(Accounts!$C$2:$C$9,MATCH(D1082,Accounts!$A$2:$A$9,0))</f>
        <v>Revenue</v>
      </c>
      <c r="G1082" t="s">
        <v>43</v>
      </c>
      <c r="H1082" t="s">
        <v>42</v>
      </c>
      <c r="I1082">
        <v>160530</v>
      </c>
    </row>
    <row r="1083" spans="1:9" x14ac:dyDescent="0.3">
      <c r="A1083" t="s">
        <v>1429</v>
      </c>
      <c r="B1083" t="s">
        <v>1430</v>
      </c>
      <c r="C1083">
        <f t="shared" si="16"/>
        <v>45931</v>
      </c>
      <c r="D1083">
        <v>6100</v>
      </c>
      <c r="E1083" t="str">
        <f>INDEX(Accounts!$B$2:$B$9,MATCH(D1083,Accounts!$A$2:$A$9,0))</f>
        <v>Marketing Expense</v>
      </c>
      <c r="F1083" t="str">
        <f>INDEX(Accounts!$C$2:$C$9,MATCH(D1083,Accounts!$A$2:$A$9,0))</f>
        <v>Operating Expense</v>
      </c>
      <c r="G1083" t="s">
        <v>43</v>
      </c>
      <c r="H1083" t="s">
        <v>46</v>
      </c>
      <c r="I1083">
        <v>4848</v>
      </c>
    </row>
    <row r="1084" spans="1:9" x14ac:dyDescent="0.3">
      <c r="A1084" t="s">
        <v>1431</v>
      </c>
      <c r="B1084" t="s">
        <v>1430</v>
      </c>
      <c r="C1084">
        <f t="shared" si="16"/>
        <v>45931</v>
      </c>
      <c r="D1084">
        <v>4000</v>
      </c>
      <c r="E1084" t="str">
        <f>INDEX(Accounts!$B$2:$B$9,MATCH(D1084,Accounts!$A$2:$A$9,0))</f>
        <v>Product Sales</v>
      </c>
      <c r="F1084" t="str">
        <f>INDEX(Accounts!$C$2:$C$9,MATCH(D1084,Accounts!$A$2:$A$9,0))</f>
        <v>Revenue</v>
      </c>
      <c r="G1084" t="s">
        <v>41</v>
      </c>
      <c r="H1084" t="s">
        <v>42</v>
      </c>
      <c r="I1084">
        <v>160363</v>
      </c>
    </row>
    <row r="1085" spans="1:9" x14ac:dyDescent="0.3">
      <c r="A1085" t="s">
        <v>1432</v>
      </c>
      <c r="B1085" t="s">
        <v>1430</v>
      </c>
      <c r="C1085">
        <f t="shared" si="16"/>
        <v>45931</v>
      </c>
      <c r="D1085">
        <v>6100</v>
      </c>
      <c r="E1085" t="str">
        <f>INDEX(Accounts!$B$2:$B$9,MATCH(D1085,Accounts!$A$2:$A$9,0))</f>
        <v>Marketing Expense</v>
      </c>
      <c r="F1085" t="str">
        <f>INDEX(Accounts!$C$2:$C$9,MATCH(D1085,Accounts!$A$2:$A$9,0))</f>
        <v>Operating Expense</v>
      </c>
      <c r="G1085" t="s">
        <v>45</v>
      </c>
      <c r="H1085" t="s">
        <v>46</v>
      </c>
      <c r="I1085">
        <v>6333</v>
      </c>
    </row>
    <row r="1086" spans="1:9" x14ac:dyDescent="0.3">
      <c r="A1086" t="s">
        <v>1433</v>
      </c>
      <c r="B1086" t="s">
        <v>1430</v>
      </c>
      <c r="C1086">
        <f t="shared" si="16"/>
        <v>45931</v>
      </c>
      <c r="D1086">
        <v>4000</v>
      </c>
      <c r="E1086" t="str">
        <f>INDEX(Accounts!$B$2:$B$9,MATCH(D1086,Accounts!$A$2:$A$9,0))</f>
        <v>Product Sales</v>
      </c>
      <c r="F1086" t="str">
        <f>INDEX(Accounts!$C$2:$C$9,MATCH(D1086,Accounts!$A$2:$A$9,0))</f>
        <v>Revenue</v>
      </c>
      <c r="G1086" t="s">
        <v>41</v>
      </c>
      <c r="H1086" t="s">
        <v>44</v>
      </c>
      <c r="I1086">
        <v>35233</v>
      </c>
    </row>
    <row r="1087" spans="1:9" x14ac:dyDescent="0.3">
      <c r="A1087" t="s">
        <v>1434</v>
      </c>
      <c r="B1087" t="s">
        <v>1430</v>
      </c>
      <c r="C1087">
        <f t="shared" si="16"/>
        <v>45931</v>
      </c>
      <c r="D1087">
        <v>4000</v>
      </c>
      <c r="E1087" t="str">
        <f>INDEX(Accounts!$B$2:$B$9,MATCH(D1087,Accounts!$A$2:$A$9,0))</f>
        <v>Product Sales</v>
      </c>
      <c r="F1087" t="str">
        <f>INDEX(Accounts!$C$2:$C$9,MATCH(D1087,Accounts!$A$2:$A$9,0))</f>
        <v>Revenue</v>
      </c>
      <c r="G1087" t="s">
        <v>45</v>
      </c>
      <c r="H1087" t="s">
        <v>42</v>
      </c>
      <c r="I1087">
        <v>52967</v>
      </c>
    </row>
    <row r="1088" spans="1:9" x14ac:dyDescent="0.3">
      <c r="A1088" t="s">
        <v>1435</v>
      </c>
      <c r="B1088" t="s">
        <v>1436</v>
      </c>
      <c r="C1088">
        <f t="shared" si="16"/>
        <v>45931</v>
      </c>
      <c r="D1088">
        <v>6200</v>
      </c>
      <c r="E1088" t="str">
        <f>INDEX(Accounts!$B$2:$B$9,MATCH(D1088,Accounts!$A$2:$A$9,0))</f>
        <v>Rent &amp; Utilities</v>
      </c>
      <c r="F1088" t="str">
        <f>INDEX(Accounts!$C$2:$C$9,MATCH(D1088,Accounts!$A$2:$A$9,0))</f>
        <v>Operating Expense</v>
      </c>
      <c r="G1088" t="s">
        <v>47</v>
      </c>
      <c r="H1088" t="s">
        <v>42</v>
      </c>
      <c r="I1088">
        <v>7312</v>
      </c>
    </row>
    <row r="1089" spans="1:9" x14ac:dyDescent="0.3">
      <c r="A1089" t="s">
        <v>1437</v>
      </c>
      <c r="B1089" t="s">
        <v>1436</v>
      </c>
      <c r="C1089">
        <f t="shared" si="16"/>
        <v>45931</v>
      </c>
      <c r="D1089">
        <v>5000</v>
      </c>
      <c r="E1089" t="str">
        <f>INDEX(Accounts!$B$2:$B$9,MATCH(D1089,Accounts!$A$2:$A$9,0))</f>
        <v>Cost of Goods Sold</v>
      </c>
      <c r="F1089" t="str">
        <f>INDEX(Accounts!$C$2:$C$9,MATCH(D1089,Accounts!$A$2:$A$9,0))</f>
        <v>COGS</v>
      </c>
      <c r="G1089" t="s">
        <v>41</v>
      </c>
      <c r="H1089" t="s">
        <v>46</v>
      </c>
      <c r="I1089">
        <v>45938</v>
      </c>
    </row>
    <row r="1090" spans="1:9" x14ac:dyDescent="0.3">
      <c r="A1090" t="s">
        <v>1438</v>
      </c>
      <c r="B1090" t="s">
        <v>1436</v>
      </c>
      <c r="C1090">
        <f t="shared" ref="C1090:C1153" si="17">DATE(YEAR(B1090),MONTH(B1090),1)</f>
        <v>45931</v>
      </c>
      <c r="D1090">
        <v>4000</v>
      </c>
      <c r="E1090" t="str">
        <f>INDEX(Accounts!$B$2:$B$9,MATCH(D1090,Accounts!$A$2:$A$9,0))</f>
        <v>Product Sales</v>
      </c>
      <c r="F1090" t="str">
        <f>INDEX(Accounts!$C$2:$C$9,MATCH(D1090,Accounts!$A$2:$A$9,0))</f>
        <v>Revenue</v>
      </c>
      <c r="G1090" t="s">
        <v>43</v>
      </c>
      <c r="H1090" t="s">
        <v>46</v>
      </c>
      <c r="I1090">
        <v>132124</v>
      </c>
    </row>
    <row r="1091" spans="1:9" x14ac:dyDescent="0.3">
      <c r="A1091" t="s">
        <v>1439</v>
      </c>
      <c r="B1091" t="s">
        <v>1436</v>
      </c>
      <c r="C1091">
        <f t="shared" si="17"/>
        <v>45931</v>
      </c>
      <c r="D1091">
        <v>6300</v>
      </c>
      <c r="E1091" t="str">
        <f>INDEX(Accounts!$B$2:$B$9,MATCH(D1091,Accounts!$A$2:$A$9,0))</f>
        <v>Logistics Expense</v>
      </c>
      <c r="F1091" t="str">
        <f>INDEX(Accounts!$C$2:$C$9,MATCH(D1091,Accounts!$A$2:$A$9,0))</f>
        <v>Operating Expense</v>
      </c>
      <c r="G1091" t="s">
        <v>41</v>
      </c>
      <c r="H1091" t="s">
        <v>42</v>
      </c>
      <c r="I1091">
        <v>8817</v>
      </c>
    </row>
    <row r="1092" spans="1:9" x14ac:dyDescent="0.3">
      <c r="A1092" t="s">
        <v>1440</v>
      </c>
      <c r="B1092" t="s">
        <v>1441</v>
      </c>
      <c r="C1092">
        <f t="shared" si="17"/>
        <v>45931</v>
      </c>
      <c r="D1092">
        <v>5000</v>
      </c>
      <c r="E1092" t="str">
        <f>INDEX(Accounts!$B$2:$B$9,MATCH(D1092,Accounts!$A$2:$A$9,0))</f>
        <v>Cost of Goods Sold</v>
      </c>
      <c r="F1092" t="str">
        <f>INDEX(Accounts!$C$2:$C$9,MATCH(D1092,Accounts!$A$2:$A$9,0))</f>
        <v>COGS</v>
      </c>
      <c r="G1092" t="s">
        <v>43</v>
      </c>
      <c r="H1092" t="s">
        <v>44</v>
      </c>
      <c r="I1092">
        <v>39914</v>
      </c>
    </row>
    <row r="1093" spans="1:9" x14ac:dyDescent="0.3">
      <c r="A1093" t="s">
        <v>1442</v>
      </c>
      <c r="B1093" t="s">
        <v>1441</v>
      </c>
      <c r="C1093">
        <f t="shared" si="17"/>
        <v>45931</v>
      </c>
      <c r="D1093">
        <v>6000</v>
      </c>
      <c r="E1093" t="str">
        <f>INDEX(Accounts!$B$2:$B$9,MATCH(D1093,Accounts!$A$2:$A$9,0))</f>
        <v>Salaries &amp; Wages</v>
      </c>
      <c r="F1093" t="str">
        <f>INDEX(Accounts!$C$2:$C$9,MATCH(D1093,Accounts!$A$2:$A$9,0))</f>
        <v>Operating Expense</v>
      </c>
      <c r="G1093" t="s">
        <v>41</v>
      </c>
      <c r="H1093" t="s">
        <v>44</v>
      </c>
      <c r="I1093">
        <v>10899</v>
      </c>
    </row>
    <row r="1094" spans="1:9" x14ac:dyDescent="0.3">
      <c r="A1094" t="s">
        <v>1443</v>
      </c>
      <c r="B1094" t="s">
        <v>1441</v>
      </c>
      <c r="C1094">
        <f t="shared" si="17"/>
        <v>45931</v>
      </c>
      <c r="D1094">
        <v>6100</v>
      </c>
      <c r="E1094" t="str">
        <f>INDEX(Accounts!$B$2:$B$9,MATCH(D1094,Accounts!$A$2:$A$9,0))</f>
        <v>Marketing Expense</v>
      </c>
      <c r="F1094" t="str">
        <f>INDEX(Accounts!$C$2:$C$9,MATCH(D1094,Accounts!$A$2:$A$9,0))</f>
        <v>Operating Expense</v>
      </c>
      <c r="G1094" t="s">
        <v>45</v>
      </c>
      <c r="H1094" t="s">
        <v>44</v>
      </c>
      <c r="I1094">
        <v>17519</v>
      </c>
    </row>
    <row r="1095" spans="1:9" x14ac:dyDescent="0.3">
      <c r="A1095" t="s">
        <v>1444</v>
      </c>
      <c r="B1095" t="s">
        <v>1441</v>
      </c>
      <c r="C1095">
        <f t="shared" si="17"/>
        <v>45931</v>
      </c>
      <c r="D1095">
        <v>6200</v>
      </c>
      <c r="E1095" t="str">
        <f>INDEX(Accounts!$B$2:$B$9,MATCH(D1095,Accounts!$A$2:$A$9,0))</f>
        <v>Rent &amp; Utilities</v>
      </c>
      <c r="F1095" t="str">
        <f>INDEX(Accounts!$C$2:$C$9,MATCH(D1095,Accounts!$A$2:$A$9,0))</f>
        <v>Operating Expense</v>
      </c>
      <c r="G1095" t="s">
        <v>43</v>
      </c>
      <c r="H1095" t="s">
        <v>42</v>
      </c>
      <c r="I1095">
        <v>4526</v>
      </c>
    </row>
    <row r="1096" spans="1:9" x14ac:dyDescent="0.3">
      <c r="A1096" t="s">
        <v>1445</v>
      </c>
      <c r="B1096" t="s">
        <v>1441</v>
      </c>
      <c r="C1096">
        <f t="shared" si="17"/>
        <v>45931</v>
      </c>
      <c r="D1096">
        <v>6000</v>
      </c>
      <c r="E1096" t="str">
        <f>INDEX(Accounts!$B$2:$B$9,MATCH(D1096,Accounts!$A$2:$A$9,0))</f>
        <v>Salaries &amp; Wages</v>
      </c>
      <c r="F1096" t="str">
        <f>INDEX(Accounts!$C$2:$C$9,MATCH(D1096,Accounts!$A$2:$A$9,0))</f>
        <v>Operating Expense</v>
      </c>
      <c r="G1096" t="s">
        <v>47</v>
      </c>
      <c r="H1096" t="s">
        <v>44</v>
      </c>
      <c r="I1096">
        <v>27747</v>
      </c>
    </row>
    <row r="1097" spans="1:9" x14ac:dyDescent="0.3">
      <c r="A1097" t="s">
        <v>1446</v>
      </c>
      <c r="B1097" t="s">
        <v>1447</v>
      </c>
      <c r="C1097">
        <f t="shared" si="17"/>
        <v>45931</v>
      </c>
      <c r="D1097">
        <v>4000</v>
      </c>
      <c r="E1097" t="str">
        <f>INDEX(Accounts!$B$2:$B$9,MATCH(D1097,Accounts!$A$2:$A$9,0))</f>
        <v>Product Sales</v>
      </c>
      <c r="F1097" t="str">
        <f>INDEX(Accounts!$C$2:$C$9,MATCH(D1097,Accounts!$A$2:$A$9,0))</f>
        <v>Revenue</v>
      </c>
      <c r="G1097" t="s">
        <v>41</v>
      </c>
      <c r="H1097" t="s">
        <v>46</v>
      </c>
      <c r="I1097">
        <v>177812</v>
      </c>
    </row>
    <row r="1098" spans="1:9" x14ac:dyDescent="0.3">
      <c r="A1098" t="s">
        <v>1448</v>
      </c>
      <c r="B1098" t="s">
        <v>1447</v>
      </c>
      <c r="C1098">
        <f t="shared" si="17"/>
        <v>45931</v>
      </c>
      <c r="D1098">
        <v>6300</v>
      </c>
      <c r="E1098" t="str">
        <f>INDEX(Accounts!$B$2:$B$9,MATCH(D1098,Accounts!$A$2:$A$9,0))</f>
        <v>Logistics Expense</v>
      </c>
      <c r="F1098" t="str">
        <f>INDEX(Accounts!$C$2:$C$9,MATCH(D1098,Accounts!$A$2:$A$9,0))</f>
        <v>Operating Expense</v>
      </c>
      <c r="G1098" t="s">
        <v>43</v>
      </c>
      <c r="H1098" t="s">
        <v>42</v>
      </c>
      <c r="I1098">
        <v>5347</v>
      </c>
    </row>
    <row r="1099" spans="1:9" x14ac:dyDescent="0.3">
      <c r="A1099" t="s">
        <v>1449</v>
      </c>
      <c r="B1099" t="s">
        <v>1450</v>
      </c>
      <c r="C1099">
        <f t="shared" si="17"/>
        <v>45931</v>
      </c>
      <c r="D1099">
        <v>6000</v>
      </c>
      <c r="E1099" t="str">
        <f>INDEX(Accounts!$B$2:$B$9,MATCH(D1099,Accounts!$A$2:$A$9,0))</f>
        <v>Salaries &amp; Wages</v>
      </c>
      <c r="F1099" t="str">
        <f>INDEX(Accounts!$C$2:$C$9,MATCH(D1099,Accounts!$A$2:$A$9,0))</f>
        <v>Operating Expense</v>
      </c>
      <c r="G1099" t="s">
        <v>47</v>
      </c>
      <c r="H1099" t="s">
        <v>42</v>
      </c>
      <c r="I1099">
        <v>29114</v>
      </c>
    </row>
    <row r="1100" spans="1:9" x14ac:dyDescent="0.3">
      <c r="A1100" t="s">
        <v>1451</v>
      </c>
      <c r="B1100" t="s">
        <v>1450</v>
      </c>
      <c r="C1100">
        <f t="shared" si="17"/>
        <v>45931</v>
      </c>
      <c r="D1100">
        <v>4000</v>
      </c>
      <c r="E1100" t="str">
        <f>INDEX(Accounts!$B$2:$B$9,MATCH(D1100,Accounts!$A$2:$A$9,0))</f>
        <v>Product Sales</v>
      </c>
      <c r="F1100" t="str">
        <f>INDEX(Accounts!$C$2:$C$9,MATCH(D1100,Accounts!$A$2:$A$9,0))</f>
        <v>Revenue</v>
      </c>
      <c r="G1100" t="s">
        <v>48</v>
      </c>
      <c r="H1100" t="s">
        <v>46</v>
      </c>
      <c r="I1100">
        <v>26219</v>
      </c>
    </row>
    <row r="1101" spans="1:9" x14ac:dyDescent="0.3">
      <c r="A1101" t="s">
        <v>1452</v>
      </c>
      <c r="B1101" t="s">
        <v>1450</v>
      </c>
      <c r="C1101">
        <f t="shared" si="17"/>
        <v>45931</v>
      </c>
      <c r="D1101">
        <v>6100</v>
      </c>
      <c r="E1101" t="str">
        <f>INDEX(Accounts!$B$2:$B$9,MATCH(D1101,Accounts!$A$2:$A$9,0))</f>
        <v>Marketing Expense</v>
      </c>
      <c r="F1101" t="str">
        <f>INDEX(Accounts!$C$2:$C$9,MATCH(D1101,Accounts!$A$2:$A$9,0))</f>
        <v>Operating Expense</v>
      </c>
      <c r="G1101" t="s">
        <v>45</v>
      </c>
      <c r="H1101" t="s">
        <v>46</v>
      </c>
      <c r="I1101">
        <v>16123</v>
      </c>
    </row>
    <row r="1102" spans="1:9" x14ac:dyDescent="0.3">
      <c r="A1102" t="s">
        <v>1453</v>
      </c>
      <c r="B1102" t="s">
        <v>1454</v>
      </c>
      <c r="C1102">
        <f t="shared" si="17"/>
        <v>45962</v>
      </c>
      <c r="D1102">
        <v>4000</v>
      </c>
      <c r="E1102" t="str">
        <f>INDEX(Accounts!$B$2:$B$9,MATCH(D1102,Accounts!$A$2:$A$9,0))</f>
        <v>Product Sales</v>
      </c>
      <c r="F1102" t="str">
        <f>INDEX(Accounts!$C$2:$C$9,MATCH(D1102,Accounts!$A$2:$A$9,0))</f>
        <v>Revenue</v>
      </c>
      <c r="G1102" t="s">
        <v>41</v>
      </c>
      <c r="H1102" t="s">
        <v>44</v>
      </c>
      <c r="I1102">
        <v>57778</v>
      </c>
    </row>
    <row r="1103" spans="1:9" x14ac:dyDescent="0.3">
      <c r="A1103" t="s">
        <v>1455</v>
      </c>
      <c r="B1103" t="s">
        <v>1454</v>
      </c>
      <c r="C1103">
        <f t="shared" si="17"/>
        <v>45962</v>
      </c>
      <c r="D1103">
        <v>5000</v>
      </c>
      <c r="E1103" t="str">
        <f>INDEX(Accounts!$B$2:$B$9,MATCH(D1103,Accounts!$A$2:$A$9,0))</f>
        <v>Cost of Goods Sold</v>
      </c>
      <c r="F1103" t="str">
        <f>INDEX(Accounts!$C$2:$C$9,MATCH(D1103,Accounts!$A$2:$A$9,0))</f>
        <v>COGS</v>
      </c>
      <c r="G1103" t="s">
        <v>43</v>
      </c>
      <c r="H1103" t="s">
        <v>44</v>
      </c>
      <c r="I1103">
        <v>59493</v>
      </c>
    </row>
    <row r="1104" spans="1:9" x14ac:dyDescent="0.3">
      <c r="A1104" t="s">
        <v>1456</v>
      </c>
      <c r="B1104" t="s">
        <v>1457</v>
      </c>
      <c r="C1104">
        <f t="shared" si="17"/>
        <v>45962</v>
      </c>
      <c r="D1104">
        <v>5000</v>
      </c>
      <c r="E1104" t="str">
        <f>INDEX(Accounts!$B$2:$B$9,MATCH(D1104,Accounts!$A$2:$A$9,0))</f>
        <v>Cost of Goods Sold</v>
      </c>
      <c r="F1104" t="str">
        <f>INDEX(Accounts!$C$2:$C$9,MATCH(D1104,Accounts!$A$2:$A$9,0))</f>
        <v>COGS</v>
      </c>
      <c r="G1104" t="s">
        <v>47</v>
      </c>
      <c r="H1104" t="s">
        <v>42</v>
      </c>
      <c r="I1104">
        <v>11672</v>
      </c>
    </row>
    <row r="1105" spans="1:9" x14ac:dyDescent="0.3">
      <c r="A1105" t="s">
        <v>1458</v>
      </c>
      <c r="B1105" t="s">
        <v>1457</v>
      </c>
      <c r="C1105">
        <f t="shared" si="17"/>
        <v>45962</v>
      </c>
      <c r="D1105">
        <v>6000</v>
      </c>
      <c r="E1105" t="str">
        <f>INDEX(Accounts!$B$2:$B$9,MATCH(D1105,Accounts!$A$2:$A$9,0))</f>
        <v>Salaries &amp; Wages</v>
      </c>
      <c r="F1105" t="str">
        <f>INDEX(Accounts!$C$2:$C$9,MATCH(D1105,Accounts!$A$2:$A$9,0))</f>
        <v>Operating Expense</v>
      </c>
      <c r="G1105" t="s">
        <v>47</v>
      </c>
      <c r="H1105" t="s">
        <v>46</v>
      </c>
      <c r="I1105">
        <v>21053</v>
      </c>
    </row>
    <row r="1106" spans="1:9" x14ac:dyDescent="0.3">
      <c r="A1106" t="s">
        <v>1459</v>
      </c>
      <c r="B1106" t="s">
        <v>1457</v>
      </c>
      <c r="C1106">
        <f t="shared" si="17"/>
        <v>45962</v>
      </c>
      <c r="D1106">
        <v>5000</v>
      </c>
      <c r="E1106" t="str">
        <f>INDEX(Accounts!$B$2:$B$9,MATCH(D1106,Accounts!$A$2:$A$9,0))</f>
        <v>Cost of Goods Sold</v>
      </c>
      <c r="F1106" t="str">
        <f>INDEX(Accounts!$C$2:$C$9,MATCH(D1106,Accounts!$A$2:$A$9,0))</f>
        <v>COGS</v>
      </c>
      <c r="G1106" t="s">
        <v>45</v>
      </c>
      <c r="H1106" t="s">
        <v>44</v>
      </c>
      <c r="I1106">
        <v>61872</v>
      </c>
    </row>
    <row r="1107" spans="1:9" x14ac:dyDescent="0.3">
      <c r="A1107" t="s">
        <v>1460</v>
      </c>
      <c r="B1107" t="s">
        <v>1461</v>
      </c>
      <c r="C1107">
        <f t="shared" si="17"/>
        <v>45962</v>
      </c>
      <c r="D1107">
        <v>6000</v>
      </c>
      <c r="E1107" t="str">
        <f>INDEX(Accounts!$B$2:$B$9,MATCH(D1107,Accounts!$A$2:$A$9,0))</f>
        <v>Salaries &amp; Wages</v>
      </c>
      <c r="F1107" t="str">
        <f>INDEX(Accounts!$C$2:$C$9,MATCH(D1107,Accounts!$A$2:$A$9,0))</f>
        <v>Operating Expense</v>
      </c>
      <c r="G1107" t="s">
        <v>43</v>
      </c>
      <c r="H1107" t="s">
        <v>44</v>
      </c>
      <c r="I1107">
        <v>22747</v>
      </c>
    </row>
    <row r="1108" spans="1:9" x14ac:dyDescent="0.3">
      <c r="A1108" t="s">
        <v>1462</v>
      </c>
      <c r="B1108" t="s">
        <v>1461</v>
      </c>
      <c r="C1108">
        <f t="shared" si="17"/>
        <v>45962</v>
      </c>
      <c r="D1108">
        <v>6000</v>
      </c>
      <c r="E1108" t="str">
        <f>INDEX(Accounts!$B$2:$B$9,MATCH(D1108,Accounts!$A$2:$A$9,0))</f>
        <v>Salaries &amp; Wages</v>
      </c>
      <c r="F1108" t="str">
        <f>INDEX(Accounts!$C$2:$C$9,MATCH(D1108,Accounts!$A$2:$A$9,0))</f>
        <v>Operating Expense</v>
      </c>
      <c r="G1108" t="s">
        <v>43</v>
      </c>
      <c r="H1108" t="s">
        <v>42</v>
      </c>
      <c r="I1108">
        <v>29060</v>
      </c>
    </row>
    <row r="1109" spans="1:9" x14ac:dyDescent="0.3">
      <c r="A1109" t="s">
        <v>1463</v>
      </c>
      <c r="B1109" t="s">
        <v>1461</v>
      </c>
      <c r="C1109">
        <f t="shared" si="17"/>
        <v>45962</v>
      </c>
      <c r="D1109">
        <v>6100</v>
      </c>
      <c r="E1109" t="str">
        <f>INDEX(Accounts!$B$2:$B$9,MATCH(D1109,Accounts!$A$2:$A$9,0))</f>
        <v>Marketing Expense</v>
      </c>
      <c r="F1109" t="str">
        <f>INDEX(Accounts!$C$2:$C$9,MATCH(D1109,Accounts!$A$2:$A$9,0))</f>
        <v>Operating Expense</v>
      </c>
      <c r="G1109" t="s">
        <v>47</v>
      </c>
      <c r="H1109" t="s">
        <v>42</v>
      </c>
      <c r="I1109">
        <v>9999</v>
      </c>
    </row>
    <row r="1110" spans="1:9" x14ac:dyDescent="0.3">
      <c r="A1110" t="s">
        <v>1464</v>
      </c>
      <c r="B1110" t="s">
        <v>1461</v>
      </c>
      <c r="C1110">
        <f t="shared" si="17"/>
        <v>45962</v>
      </c>
      <c r="D1110">
        <v>6200</v>
      </c>
      <c r="E1110" t="str">
        <f>INDEX(Accounts!$B$2:$B$9,MATCH(D1110,Accounts!$A$2:$A$9,0))</f>
        <v>Rent &amp; Utilities</v>
      </c>
      <c r="F1110" t="str">
        <f>INDEX(Accounts!$C$2:$C$9,MATCH(D1110,Accounts!$A$2:$A$9,0))</f>
        <v>Operating Expense</v>
      </c>
      <c r="G1110" t="s">
        <v>48</v>
      </c>
      <c r="H1110" t="s">
        <v>44</v>
      </c>
      <c r="I1110">
        <v>8700</v>
      </c>
    </row>
    <row r="1111" spans="1:9" x14ac:dyDescent="0.3">
      <c r="A1111" t="s">
        <v>1465</v>
      </c>
      <c r="B1111" t="s">
        <v>1461</v>
      </c>
      <c r="C1111">
        <f t="shared" si="17"/>
        <v>45962</v>
      </c>
      <c r="D1111">
        <v>5000</v>
      </c>
      <c r="E1111" t="str">
        <f>INDEX(Accounts!$B$2:$B$9,MATCH(D1111,Accounts!$A$2:$A$9,0))</f>
        <v>Cost of Goods Sold</v>
      </c>
      <c r="F1111" t="str">
        <f>INDEX(Accounts!$C$2:$C$9,MATCH(D1111,Accounts!$A$2:$A$9,0))</f>
        <v>COGS</v>
      </c>
      <c r="G1111" t="s">
        <v>43</v>
      </c>
      <c r="H1111" t="s">
        <v>46</v>
      </c>
      <c r="I1111">
        <v>16544</v>
      </c>
    </row>
    <row r="1112" spans="1:9" x14ac:dyDescent="0.3">
      <c r="A1112" t="s">
        <v>1466</v>
      </c>
      <c r="B1112" t="s">
        <v>1467</v>
      </c>
      <c r="C1112">
        <f t="shared" si="17"/>
        <v>45962</v>
      </c>
      <c r="D1112">
        <v>5000</v>
      </c>
      <c r="E1112" t="str">
        <f>INDEX(Accounts!$B$2:$B$9,MATCH(D1112,Accounts!$A$2:$A$9,0))</f>
        <v>Cost of Goods Sold</v>
      </c>
      <c r="F1112" t="str">
        <f>INDEX(Accounts!$C$2:$C$9,MATCH(D1112,Accounts!$A$2:$A$9,0))</f>
        <v>COGS</v>
      </c>
      <c r="G1112" t="s">
        <v>45</v>
      </c>
      <c r="H1112" t="s">
        <v>46</v>
      </c>
      <c r="I1112">
        <v>21038</v>
      </c>
    </row>
    <row r="1113" spans="1:9" x14ac:dyDescent="0.3">
      <c r="A1113" t="s">
        <v>1468</v>
      </c>
      <c r="B1113" t="s">
        <v>1467</v>
      </c>
      <c r="C1113">
        <f t="shared" si="17"/>
        <v>45962</v>
      </c>
      <c r="D1113">
        <v>4000</v>
      </c>
      <c r="E1113" t="str">
        <f>INDEX(Accounts!$B$2:$B$9,MATCH(D1113,Accounts!$A$2:$A$9,0))</f>
        <v>Product Sales</v>
      </c>
      <c r="F1113" t="str">
        <f>INDEX(Accounts!$C$2:$C$9,MATCH(D1113,Accounts!$A$2:$A$9,0))</f>
        <v>Revenue</v>
      </c>
      <c r="G1113" t="s">
        <v>41</v>
      </c>
      <c r="H1113" t="s">
        <v>46</v>
      </c>
      <c r="I1113">
        <v>127195</v>
      </c>
    </row>
    <row r="1114" spans="1:9" x14ac:dyDescent="0.3">
      <c r="A1114" t="s">
        <v>1469</v>
      </c>
      <c r="B1114" t="s">
        <v>1467</v>
      </c>
      <c r="C1114">
        <f t="shared" si="17"/>
        <v>45962</v>
      </c>
      <c r="D1114">
        <v>6400</v>
      </c>
      <c r="E1114" t="str">
        <f>INDEX(Accounts!$B$2:$B$9,MATCH(D1114,Accounts!$A$2:$A$9,0))</f>
        <v>Software &amp; Admin</v>
      </c>
      <c r="F1114" t="str">
        <f>INDEX(Accounts!$C$2:$C$9,MATCH(D1114,Accounts!$A$2:$A$9,0))</f>
        <v>Operating Expense</v>
      </c>
      <c r="G1114" t="s">
        <v>45</v>
      </c>
      <c r="H1114" t="s">
        <v>44</v>
      </c>
      <c r="I1114">
        <v>8257</v>
      </c>
    </row>
    <row r="1115" spans="1:9" x14ac:dyDescent="0.3">
      <c r="A1115" t="s">
        <v>1470</v>
      </c>
      <c r="B1115" t="s">
        <v>1467</v>
      </c>
      <c r="C1115">
        <f t="shared" si="17"/>
        <v>45962</v>
      </c>
      <c r="D1115">
        <v>4000</v>
      </c>
      <c r="E1115" t="str">
        <f>INDEX(Accounts!$B$2:$B$9,MATCH(D1115,Accounts!$A$2:$A$9,0))</f>
        <v>Product Sales</v>
      </c>
      <c r="F1115" t="str">
        <f>INDEX(Accounts!$C$2:$C$9,MATCH(D1115,Accounts!$A$2:$A$9,0))</f>
        <v>Revenue</v>
      </c>
      <c r="G1115" t="s">
        <v>45</v>
      </c>
      <c r="H1115" t="s">
        <v>42</v>
      </c>
      <c r="I1115">
        <v>119483</v>
      </c>
    </row>
    <row r="1116" spans="1:9" x14ac:dyDescent="0.3">
      <c r="A1116" t="s">
        <v>1471</v>
      </c>
      <c r="B1116" t="s">
        <v>1467</v>
      </c>
      <c r="C1116">
        <f t="shared" si="17"/>
        <v>45962</v>
      </c>
      <c r="D1116">
        <v>5000</v>
      </c>
      <c r="E1116" t="str">
        <f>INDEX(Accounts!$B$2:$B$9,MATCH(D1116,Accounts!$A$2:$A$9,0))</f>
        <v>Cost of Goods Sold</v>
      </c>
      <c r="F1116" t="str">
        <f>INDEX(Accounts!$C$2:$C$9,MATCH(D1116,Accounts!$A$2:$A$9,0))</f>
        <v>COGS</v>
      </c>
      <c r="G1116" t="s">
        <v>41</v>
      </c>
      <c r="H1116" t="s">
        <v>42</v>
      </c>
      <c r="I1116">
        <v>46081</v>
      </c>
    </row>
    <row r="1117" spans="1:9" x14ac:dyDescent="0.3">
      <c r="A1117" t="s">
        <v>1472</v>
      </c>
      <c r="B1117" t="s">
        <v>1467</v>
      </c>
      <c r="C1117">
        <f t="shared" si="17"/>
        <v>45962</v>
      </c>
      <c r="D1117">
        <v>5000</v>
      </c>
      <c r="E1117" t="str">
        <f>INDEX(Accounts!$B$2:$B$9,MATCH(D1117,Accounts!$A$2:$A$9,0))</f>
        <v>Cost of Goods Sold</v>
      </c>
      <c r="F1117" t="str">
        <f>INDEX(Accounts!$C$2:$C$9,MATCH(D1117,Accounts!$A$2:$A$9,0))</f>
        <v>COGS</v>
      </c>
      <c r="G1117" t="s">
        <v>41</v>
      </c>
      <c r="H1117" t="s">
        <v>42</v>
      </c>
      <c r="I1117">
        <v>19707</v>
      </c>
    </row>
    <row r="1118" spans="1:9" x14ac:dyDescent="0.3">
      <c r="A1118" t="s">
        <v>1473</v>
      </c>
      <c r="B1118" t="s">
        <v>1467</v>
      </c>
      <c r="C1118">
        <f t="shared" si="17"/>
        <v>45962</v>
      </c>
      <c r="D1118">
        <v>4000</v>
      </c>
      <c r="E1118" t="str">
        <f>INDEX(Accounts!$B$2:$B$9,MATCH(D1118,Accounts!$A$2:$A$9,0))</f>
        <v>Product Sales</v>
      </c>
      <c r="F1118" t="str">
        <f>INDEX(Accounts!$C$2:$C$9,MATCH(D1118,Accounts!$A$2:$A$9,0))</f>
        <v>Revenue</v>
      </c>
      <c r="G1118" t="s">
        <v>43</v>
      </c>
      <c r="H1118" t="s">
        <v>42</v>
      </c>
      <c r="I1118">
        <v>94465</v>
      </c>
    </row>
    <row r="1119" spans="1:9" x14ac:dyDescent="0.3">
      <c r="A1119" t="s">
        <v>1474</v>
      </c>
      <c r="B1119" t="s">
        <v>1475</v>
      </c>
      <c r="C1119">
        <f t="shared" si="17"/>
        <v>45962</v>
      </c>
      <c r="D1119">
        <v>5000</v>
      </c>
      <c r="E1119" t="str">
        <f>INDEX(Accounts!$B$2:$B$9,MATCH(D1119,Accounts!$A$2:$A$9,0))</f>
        <v>Cost of Goods Sold</v>
      </c>
      <c r="F1119" t="str">
        <f>INDEX(Accounts!$C$2:$C$9,MATCH(D1119,Accounts!$A$2:$A$9,0))</f>
        <v>COGS</v>
      </c>
      <c r="G1119" t="s">
        <v>41</v>
      </c>
      <c r="H1119" t="s">
        <v>42</v>
      </c>
      <c r="I1119">
        <v>51486</v>
      </c>
    </row>
    <row r="1120" spans="1:9" x14ac:dyDescent="0.3">
      <c r="A1120" t="s">
        <v>1476</v>
      </c>
      <c r="B1120" t="s">
        <v>1475</v>
      </c>
      <c r="C1120">
        <f t="shared" si="17"/>
        <v>45962</v>
      </c>
      <c r="D1120">
        <v>6400</v>
      </c>
      <c r="E1120" t="str">
        <f>INDEX(Accounts!$B$2:$B$9,MATCH(D1120,Accounts!$A$2:$A$9,0))</f>
        <v>Software &amp; Admin</v>
      </c>
      <c r="F1120" t="str">
        <f>INDEX(Accounts!$C$2:$C$9,MATCH(D1120,Accounts!$A$2:$A$9,0))</f>
        <v>Operating Expense</v>
      </c>
      <c r="G1120" t="s">
        <v>41</v>
      </c>
      <c r="H1120" t="s">
        <v>44</v>
      </c>
      <c r="I1120">
        <v>4635</v>
      </c>
    </row>
    <row r="1121" spans="1:9" x14ac:dyDescent="0.3">
      <c r="A1121" t="s">
        <v>1477</v>
      </c>
      <c r="B1121" t="s">
        <v>1478</v>
      </c>
      <c r="C1121">
        <f t="shared" si="17"/>
        <v>45962</v>
      </c>
      <c r="D1121">
        <v>6100</v>
      </c>
      <c r="E1121" t="str">
        <f>INDEX(Accounts!$B$2:$B$9,MATCH(D1121,Accounts!$A$2:$A$9,0))</f>
        <v>Marketing Expense</v>
      </c>
      <c r="F1121" t="str">
        <f>INDEX(Accounts!$C$2:$C$9,MATCH(D1121,Accounts!$A$2:$A$9,0))</f>
        <v>Operating Expense</v>
      </c>
      <c r="G1121" t="s">
        <v>45</v>
      </c>
      <c r="H1121" t="s">
        <v>44</v>
      </c>
      <c r="I1121">
        <v>5614</v>
      </c>
    </row>
    <row r="1122" spans="1:9" x14ac:dyDescent="0.3">
      <c r="A1122" t="s">
        <v>1479</v>
      </c>
      <c r="B1122" t="s">
        <v>1480</v>
      </c>
      <c r="C1122">
        <f t="shared" si="17"/>
        <v>45962</v>
      </c>
      <c r="D1122">
        <v>4000</v>
      </c>
      <c r="E1122" t="str">
        <f>INDEX(Accounts!$B$2:$B$9,MATCH(D1122,Accounts!$A$2:$A$9,0))</f>
        <v>Product Sales</v>
      </c>
      <c r="F1122" t="str">
        <f>INDEX(Accounts!$C$2:$C$9,MATCH(D1122,Accounts!$A$2:$A$9,0))</f>
        <v>Revenue</v>
      </c>
      <c r="G1122" t="s">
        <v>41</v>
      </c>
      <c r="H1122" t="s">
        <v>42</v>
      </c>
      <c r="I1122">
        <v>149042</v>
      </c>
    </row>
    <row r="1123" spans="1:9" x14ac:dyDescent="0.3">
      <c r="A1123" t="s">
        <v>1481</v>
      </c>
      <c r="B1123" t="s">
        <v>1480</v>
      </c>
      <c r="C1123">
        <f t="shared" si="17"/>
        <v>45962</v>
      </c>
      <c r="D1123">
        <v>5000</v>
      </c>
      <c r="E1123" t="str">
        <f>INDEX(Accounts!$B$2:$B$9,MATCH(D1123,Accounts!$A$2:$A$9,0))</f>
        <v>Cost of Goods Sold</v>
      </c>
      <c r="F1123" t="str">
        <f>INDEX(Accounts!$C$2:$C$9,MATCH(D1123,Accounts!$A$2:$A$9,0))</f>
        <v>COGS</v>
      </c>
      <c r="G1123" t="s">
        <v>43</v>
      </c>
      <c r="H1123" t="s">
        <v>44</v>
      </c>
      <c r="I1123">
        <v>24377</v>
      </c>
    </row>
    <row r="1124" spans="1:9" x14ac:dyDescent="0.3">
      <c r="A1124" t="s">
        <v>1482</v>
      </c>
      <c r="B1124" t="s">
        <v>1480</v>
      </c>
      <c r="C1124">
        <f t="shared" si="17"/>
        <v>45962</v>
      </c>
      <c r="D1124">
        <v>6300</v>
      </c>
      <c r="E1124" t="str">
        <f>INDEX(Accounts!$B$2:$B$9,MATCH(D1124,Accounts!$A$2:$A$9,0))</f>
        <v>Logistics Expense</v>
      </c>
      <c r="F1124" t="str">
        <f>INDEX(Accounts!$C$2:$C$9,MATCH(D1124,Accounts!$A$2:$A$9,0))</f>
        <v>Operating Expense</v>
      </c>
      <c r="G1124" t="s">
        <v>41</v>
      </c>
      <c r="H1124" t="s">
        <v>44</v>
      </c>
      <c r="I1124">
        <v>3308</v>
      </c>
    </row>
    <row r="1125" spans="1:9" x14ac:dyDescent="0.3">
      <c r="A1125" t="s">
        <v>1483</v>
      </c>
      <c r="B1125" t="s">
        <v>1480</v>
      </c>
      <c r="C1125">
        <f t="shared" si="17"/>
        <v>45962</v>
      </c>
      <c r="D1125">
        <v>6300</v>
      </c>
      <c r="E1125" t="str">
        <f>INDEX(Accounts!$B$2:$B$9,MATCH(D1125,Accounts!$A$2:$A$9,0))</f>
        <v>Logistics Expense</v>
      </c>
      <c r="F1125" t="str">
        <f>INDEX(Accounts!$C$2:$C$9,MATCH(D1125,Accounts!$A$2:$A$9,0))</f>
        <v>Operating Expense</v>
      </c>
      <c r="G1125" t="s">
        <v>41</v>
      </c>
      <c r="H1125" t="s">
        <v>44</v>
      </c>
      <c r="I1125">
        <v>1706</v>
      </c>
    </row>
    <row r="1126" spans="1:9" x14ac:dyDescent="0.3">
      <c r="A1126" t="s">
        <v>1484</v>
      </c>
      <c r="B1126" t="s">
        <v>1480</v>
      </c>
      <c r="C1126">
        <f t="shared" si="17"/>
        <v>45962</v>
      </c>
      <c r="D1126">
        <v>6000</v>
      </c>
      <c r="E1126" t="str">
        <f>INDEX(Accounts!$B$2:$B$9,MATCH(D1126,Accounts!$A$2:$A$9,0))</f>
        <v>Salaries &amp; Wages</v>
      </c>
      <c r="F1126" t="str">
        <f>INDEX(Accounts!$C$2:$C$9,MATCH(D1126,Accounts!$A$2:$A$9,0))</f>
        <v>Operating Expense</v>
      </c>
      <c r="G1126" t="s">
        <v>43</v>
      </c>
      <c r="H1126" t="s">
        <v>44</v>
      </c>
      <c r="I1126">
        <v>28999</v>
      </c>
    </row>
    <row r="1127" spans="1:9" x14ac:dyDescent="0.3">
      <c r="A1127" t="s">
        <v>1485</v>
      </c>
      <c r="B1127" t="s">
        <v>1480</v>
      </c>
      <c r="C1127">
        <f t="shared" si="17"/>
        <v>45962</v>
      </c>
      <c r="D1127">
        <v>6400</v>
      </c>
      <c r="E1127" t="str">
        <f>INDEX(Accounts!$B$2:$B$9,MATCH(D1127,Accounts!$A$2:$A$9,0))</f>
        <v>Software &amp; Admin</v>
      </c>
      <c r="F1127" t="str">
        <f>INDEX(Accounts!$C$2:$C$9,MATCH(D1127,Accounts!$A$2:$A$9,0))</f>
        <v>Operating Expense</v>
      </c>
      <c r="G1127" t="s">
        <v>41</v>
      </c>
      <c r="H1127" t="s">
        <v>46</v>
      </c>
      <c r="I1127">
        <v>4784</v>
      </c>
    </row>
    <row r="1128" spans="1:9" x14ac:dyDescent="0.3">
      <c r="A1128" t="s">
        <v>1486</v>
      </c>
      <c r="B1128" t="s">
        <v>1480</v>
      </c>
      <c r="C1128">
        <f t="shared" si="17"/>
        <v>45962</v>
      </c>
      <c r="D1128">
        <v>6300</v>
      </c>
      <c r="E1128" t="str">
        <f>INDEX(Accounts!$B$2:$B$9,MATCH(D1128,Accounts!$A$2:$A$9,0))</f>
        <v>Logistics Expense</v>
      </c>
      <c r="F1128" t="str">
        <f>INDEX(Accounts!$C$2:$C$9,MATCH(D1128,Accounts!$A$2:$A$9,0))</f>
        <v>Operating Expense</v>
      </c>
      <c r="G1128" t="s">
        <v>41</v>
      </c>
      <c r="H1128" t="s">
        <v>46</v>
      </c>
      <c r="I1128">
        <v>6021</v>
      </c>
    </row>
    <row r="1129" spans="1:9" x14ac:dyDescent="0.3">
      <c r="A1129" t="s">
        <v>1487</v>
      </c>
      <c r="B1129" t="s">
        <v>1488</v>
      </c>
      <c r="C1129">
        <f t="shared" si="17"/>
        <v>45962</v>
      </c>
      <c r="D1129">
        <v>4100</v>
      </c>
      <c r="E1129" t="str">
        <f>INDEX(Accounts!$B$2:$B$9,MATCH(D1129,Accounts!$A$2:$A$9,0))</f>
        <v>Sales Returns &amp; Discounts</v>
      </c>
      <c r="F1129" t="str">
        <f>INDEX(Accounts!$C$2:$C$9,MATCH(D1129,Accounts!$A$2:$A$9,0))</f>
        <v>Contra Revenue</v>
      </c>
      <c r="G1129" t="s">
        <v>45</v>
      </c>
      <c r="H1129" t="s">
        <v>46</v>
      </c>
      <c r="I1129">
        <v>5382</v>
      </c>
    </row>
    <row r="1130" spans="1:9" x14ac:dyDescent="0.3">
      <c r="A1130" t="s">
        <v>1489</v>
      </c>
      <c r="B1130" t="s">
        <v>1488</v>
      </c>
      <c r="C1130">
        <f t="shared" si="17"/>
        <v>45962</v>
      </c>
      <c r="D1130">
        <v>6200</v>
      </c>
      <c r="E1130" t="str">
        <f>INDEX(Accounts!$B$2:$B$9,MATCH(D1130,Accounts!$A$2:$A$9,0))</f>
        <v>Rent &amp; Utilities</v>
      </c>
      <c r="F1130" t="str">
        <f>INDEX(Accounts!$C$2:$C$9,MATCH(D1130,Accounts!$A$2:$A$9,0))</f>
        <v>Operating Expense</v>
      </c>
      <c r="G1130" t="s">
        <v>43</v>
      </c>
      <c r="H1130" t="s">
        <v>44</v>
      </c>
      <c r="I1130">
        <v>9753</v>
      </c>
    </row>
    <row r="1131" spans="1:9" x14ac:dyDescent="0.3">
      <c r="A1131" t="s">
        <v>1490</v>
      </c>
      <c r="B1131" t="s">
        <v>1488</v>
      </c>
      <c r="C1131">
        <f t="shared" si="17"/>
        <v>45962</v>
      </c>
      <c r="D1131">
        <v>6100</v>
      </c>
      <c r="E1131" t="str">
        <f>INDEX(Accounts!$B$2:$B$9,MATCH(D1131,Accounts!$A$2:$A$9,0))</f>
        <v>Marketing Expense</v>
      </c>
      <c r="F1131" t="str">
        <f>INDEX(Accounts!$C$2:$C$9,MATCH(D1131,Accounts!$A$2:$A$9,0))</f>
        <v>Operating Expense</v>
      </c>
      <c r="G1131" t="s">
        <v>41</v>
      </c>
      <c r="H1131" t="s">
        <v>44</v>
      </c>
      <c r="I1131">
        <v>14047</v>
      </c>
    </row>
    <row r="1132" spans="1:9" x14ac:dyDescent="0.3">
      <c r="A1132" t="s">
        <v>1491</v>
      </c>
      <c r="B1132" t="s">
        <v>1488</v>
      </c>
      <c r="C1132">
        <f t="shared" si="17"/>
        <v>45962</v>
      </c>
      <c r="D1132">
        <v>6000</v>
      </c>
      <c r="E1132" t="str">
        <f>INDEX(Accounts!$B$2:$B$9,MATCH(D1132,Accounts!$A$2:$A$9,0))</f>
        <v>Salaries &amp; Wages</v>
      </c>
      <c r="F1132" t="str">
        <f>INDEX(Accounts!$C$2:$C$9,MATCH(D1132,Accounts!$A$2:$A$9,0))</f>
        <v>Operating Expense</v>
      </c>
      <c r="G1132" t="s">
        <v>41</v>
      </c>
      <c r="H1132" t="s">
        <v>42</v>
      </c>
      <c r="I1132">
        <v>26487</v>
      </c>
    </row>
    <row r="1133" spans="1:9" x14ac:dyDescent="0.3">
      <c r="A1133" t="s">
        <v>1492</v>
      </c>
      <c r="B1133" t="s">
        <v>1488</v>
      </c>
      <c r="C1133">
        <f t="shared" si="17"/>
        <v>45962</v>
      </c>
      <c r="D1133">
        <v>6000</v>
      </c>
      <c r="E1133" t="str">
        <f>INDEX(Accounts!$B$2:$B$9,MATCH(D1133,Accounts!$A$2:$A$9,0))</f>
        <v>Salaries &amp; Wages</v>
      </c>
      <c r="F1133" t="str">
        <f>INDEX(Accounts!$C$2:$C$9,MATCH(D1133,Accounts!$A$2:$A$9,0))</f>
        <v>Operating Expense</v>
      </c>
      <c r="G1133" t="s">
        <v>41</v>
      </c>
      <c r="H1133" t="s">
        <v>46</v>
      </c>
      <c r="I1133">
        <v>29398</v>
      </c>
    </row>
    <row r="1134" spans="1:9" x14ac:dyDescent="0.3">
      <c r="A1134" t="s">
        <v>1493</v>
      </c>
      <c r="B1134" t="s">
        <v>1488</v>
      </c>
      <c r="C1134">
        <f t="shared" si="17"/>
        <v>45962</v>
      </c>
      <c r="D1134">
        <v>4000</v>
      </c>
      <c r="E1134" t="str">
        <f>INDEX(Accounts!$B$2:$B$9,MATCH(D1134,Accounts!$A$2:$A$9,0))</f>
        <v>Product Sales</v>
      </c>
      <c r="F1134" t="str">
        <f>INDEX(Accounts!$C$2:$C$9,MATCH(D1134,Accounts!$A$2:$A$9,0))</f>
        <v>Revenue</v>
      </c>
      <c r="G1134" t="s">
        <v>45</v>
      </c>
      <c r="H1134" t="s">
        <v>44</v>
      </c>
      <c r="I1134">
        <v>141815</v>
      </c>
    </row>
    <row r="1135" spans="1:9" x14ac:dyDescent="0.3">
      <c r="A1135" t="s">
        <v>1494</v>
      </c>
      <c r="B1135" t="s">
        <v>1488</v>
      </c>
      <c r="C1135">
        <f t="shared" si="17"/>
        <v>45962</v>
      </c>
      <c r="D1135">
        <v>4000</v>
      </c>
      <c r="E1135" t="str">
        <f>INDEX(Accounts!$B$2:$B$9,MATCH(D1135,Accounts!$A$2:$A$9,0))</f>
        <v>Product Sales</v>
      </c>
      <c r="F1135" t="str">
        <f>INDEX(Accounts!$C$2:$C$9,MATCH(D1135,Accounts!$A$2:$A$9,0))</f>
        <v>Revenue</v>
      </c>
      <c r="G1135" t="s">
        <v>41</v>
      </c>
      <c r="H1135" t="s">
        <v>44</v>
      </c>
      <c r="I1135">
        <v>109780</v>
      </c>
    </row>
    <row r="1136" spans="1:9" x14ac:dyDescent="0.3">
      <c r="A1136" t="s">
        <v>1495</v>
      </c>
      <c r="B1136" t="s">
        <v>1496</v>
      </c>
      <c r="C1136">
        <f t="shared" si="17"/>
        <v>45962</v>
      </c>
      <c r="D1136">
        <v>4000</v>
      </c>
      <c r="E1136" t="str">
        <f>INDEX(Accounts!$B$2:$B$9,MATCH(D1136,Accounts!$A$2:$A$9,0))</f>
        <v>Product Sales</v>
      </c>
      <c r="F1136" t="str">
        <f>INDEX(Accounts!$C$2:$C$9,MATCH(D1136,Accounts!$A$2:$A$9,0))</f>
        <v>Revenue</v>
      </c>
      <c r="G1136" t="s">
        <v>41</v>
      </c>
      <c r="H1136" t="s">
        <v>46</v>
      </c>
      <c r="I1136">
        <v>60730</v>
      </c>
    </row>
    <row r="1137" spans="1:9" x14ac:dyDescent="0.3">
      <c r="A1137" t="s">
        <v>1497</v>
      </c>
      <c r="B1137" t="s">
        <v>1496</v>
      </c>
      <c r="C1137">
        <f t="shared" si="17"/>
        <v>45962</v>
      </c>
      <c r="D1137">
        <v>4000</v>
      </c>
      <c r="E1137" t="str">
        <f>INDEX(Accounts!$B$2:$B$9,MATCH(D1137,Accounts!$A$2:$A$9,0))</f>
        <v>Product Sales</v>
      </c>
      <c r="F1137" t="str">
        <f>INDEX(Accounts!$C$2:$C$9,MATCH(D1137,Accounts!$A$2:$A$9,0))</f>
        <v>Revenue</v>
      </c>
      <c r="G1137" t="s">
        <v>45</v>
      </c>
      <c r="H1137" t="s">
        <v>46</v>
      </c>
      <c r="I1137">
        <v>96267</v>
      </c>
    </row>
    <row r="1138" spans="1:9" x14ac:dyDescent="0.3">
      <c r="A1138" t="s">
        <v>1498</v>
      </c>
      <c r="B1138" t="s">
        <v>1496</v>
      </c>
      <c r="C1138">
        <f t="shared" si="17"/>
        <v>45962</v>
      </c>
      <c r="D1138">
        <v>6100</v>
      </c>
      <c r="E1138" t="str">
        <f>INDEX(Accounts!$B$2:$B$9,MATCH(D1138,Accounts!$A$2:$A$9,0))</f>
        <v>Marketing Expense</v>
      </c>
      <c r="F1138" t="str">
        <f>INDEX(Accounts!$C$2:$C$9,MATCH(D1138,Accounts!$A$2:$A$9,0))</f>
        <v>Operating Expense</v>
      </c>
      <c r="G1138" t="s">
        <v>41</v>
      </c>
      <c r="H1138" t="s">
        <v>44</v>
      </c>
      <c r="I1138">
        <v>4975</v>
      </c>
    </row>
    <row r="1139" spans="1:9" x14ac:dyDescent="0.3">
      <c r="A1139" t="s">
        <v>1499</v>
      </c>
      <c r="B1139" t="s">
        <v>1496</v>
      </c>
      <c r="C1139">
        <f t="shared" si="17"/>
        <v>45962</v>
      </c>
      <c r="D1139">
        <v>5000</v>
      </c>
      <c r="E1139" t="str">
        <f>INDEX(Accounts!$B$2:$B$9,MATCH(D1139,Accounts!$A$2:$A$9,0))</f>
        <v>Cost of Goods Sold</v>
      </c>
      <c r="F1139" t="str">
        <f>INDEX(Accounts!$C$2:$C$9,MATCH(D1139,Accounts!$A$2:$A$9,0))</f>
        <v>COGS</v>
      </c>
      <c r="G1139" t="s">
        <v>43</v>
      </c>
      <c r="H1139" t="s">
        <v>44</v>
      </c>
      <c r="I1139">
        <v>8012</v>
      </c>
    </row>
    <row r="1140" spans="1:9" x14ac:dyDescent="0.3">
      <c r="A1140" t="s">
        <v>1500</v>
      </c>
      <c r="B1140" t="s">
        <v>1501</v>
      </c>
      <c r="C1140">
        <f t="shared" si="17"/>
        <v>45962</v>
      </c>
      <c r="D1140">
        <v>5000</v>
      </c>
      <c r="E1140" t="str">
        <f>INDEX(Accounts!$B$2:$B$9,MATCH(D1140,Accounts!$A$2:$A$9,0))</f>
        <v>Cost of Goods Sold</v>
      </c>
      <c r="F1140" t="str">
        <f>INDEX(Accounts!$C$2:$C$9,MATCH(D1140,Accounts!$A$2:$A$9,0))</f>
        <v>COGS</v>
      </c>
      <c r="G1140" t="s">
        <v>45</v>
      </c>
      <c r="H1140" t="s">
        <v>44</v>
      </c>
      <c r="I1140">
        <v>58773</v>
      </c>
    </row>
    <row r="1141" spans="1:9" x14ac:dyDescent="0.3">
      <c r="A1141" t="s">
        <v>1502</v>
      </c>
      <c r="B1141" t="s">
        <v>1501</v>
      </c>
      <c r="C1141">
        <f t="shared" si="17"/>
        <v>45962</v>
      </c>
      <c r="D1141">
        <v>4000</v>
      </c>
      <c r="E1141" t="str">
        <f>INDEX(Accounts!$B$2:$B$9,MATCH(D1141,Accounts!$A$2:$A$9,0))</f>
        <v>Product Sales</v>
      </c>
      <c r="F1141" t="str">
        <f>INDEX(Accounts!$C$2:$C$9,MATCH(D1141,Accounts!$A$2:$A$9,0))</f>
        <v>Revenue</v>
      </c>
      <c r="G1141" t="s">
        <v>45</v>
      </c>
      <c r="H1141" t="s">
        <v>44</v>
      </c>
      <c r="I1141">
        <v>58138</v>
      </c>
    </row>
    <row r="1142" spans="1:9" x14ac:dyDescent="0.3">
      <c r="A1142" t="s">
        <v>1503</v>
      </c>
      <c r="B1142" t="s">
        <v>1501</v>
      </c>
      <c r="C1142">
        <f t="shared" si="17"/>
        <v>45962</v>
      </c>
      <c r="D1142">
        <v>6000</v>
      </c>
      <c r="E1142" t="str">
        <f>INDEX(Accounts!$B$2:$B$9,MATCH(D1142,Accounts!$A$2:$A$9,0))</f>
        <v>Salaries &amp; Wages</v>
      </c>
      <c r="F1142" t="str">
        <f>INDEX(Accounts!$C$2:$C$9,MATCH(D1142,Accounts!$A$2:$A$9,0))</f>
        <v>Operating Expense</v>
      </c>
      <c r="G1142" t="s">
        <v>47</v>
      </c>
      <c r="H1142" t="s">
        <v>46</v>
      </c>
      <c r="I1142">
        <v>17243</v>
      </c>
    </row>
    <row r="1143" spans="1:9" x14ac:dyDescent="0.3">
      <c r="A1143" t="s">
        <v>1504</v>
      </c>
      <c r="B1143" t="s">
        <v>1501</v>
      </c>
      <c r="C1143">
        <f t="shared" si="17"/>
        <v>45962</v>
      </c>
      <c r="D1143">
        <v>6000</v>
      </c>
      <c r="E1143" t="str">
        <f>INDEX(Accounts!$B$2:$B$9,MATCH(D1143,Accounts!$A$2:$A$9,0))</f>
        <v>Salaries &amp; Wages</v>
      </c>
      <c r="F1143" t="str">
        <f>INDEX(Accounts!$C$2:$C$9,MATCH(D1143,Accounts!$A$2:$A$9,0))</f>
        <v>Operating Expense</v>
      </c>
      <c r="G1143" t="s">
        <v>43</v>
      </c>
      <c r="H1143" t="s">
        <v>44</v>
      </c>
      <c r="I1143">
        <v>18530</v>
      </c>
    </row>
    <row r="1144" spans="1:9" x14ac:dyDescent="0.3">
      <c r="A1144" t="s">
        <v>1505</v>
      </c>
      <c r="B1144" t="s">
        <v>1501</v>
      </c>
      <c r="C1144">
        <f t="shared" si="17"/>
        <v>45962</v>
      </c>
      <c r="D1144">
        <v>6200</v>
      </c>
      <c r="E1144" t="str">
        <f>INDEX(Accounts!$B$2:$B$9,MATCH(D1144,Accounts!$A$2:$A$9,0))</f>
        <v>Rent &amp; Utilities</v>
      </c>
      <c r="F1144" t="str">
        <f>INDEX(Accounts!$C$2:$C$9,MATCH(D1144,Accounts!$A$2:$A$9,0))</f>
        <v>Operating Expense</v>
      </c>
      <c r="G1144" t="s">
        <v>41</v>
      </c>
      <c r="H1144" t="s">
        <v>44</v>
      </c>
      <c r="I1144">
        <v>4352</v>
      </c>
    </row>
    <row r="1145" spans="1:9" x14ac:dyDescent="0.3">
      <c r="A1145" t="s">
        <v>1506</v>
      </c>
      <c r="B1145" t="s">
        <v>1507</v>
      </c>
      <c r="C1145">
        <f t="shared" si="17"/>
        <v>45962</v>
      </c>
      <c r="D1145">
        <v>6100</v>
      </c>
      <c r="E1145" t="str">
        <f>INDEX(Accounts!$B$2:$B$9,MATCH(D1145,Accounts!$A$2:$A$9,0))</f>
        <v>Marketing Expense</v>
      </c>
      <c r="F1145" t="str">
        <f>INDEX(Accounts!$C$2:$C$9,MATCH(D1145,Accounts!$A$2:$A$9,0))</f>
        <v>Operating Expense</v>
      </c>
      <c r="G1145" t="s">
        <v>45</v>
      </c>
      <c r="H1145" t="s">
        <v>46</v>
      </c>
      <c r="I1145">
        <v>15419</v>
      </c>
    </row>
    <row r="1146" spans="1:9" x14ac:dyDescent="0.3">
      <c r="A1146" t="s">
        <v>1508</v>
      </c>
      <c r="B1146" t="s">
        <v>1507</v>
      </c>
      <c r="C1146">
        <f t="shared" si="17"/>
        <v>45962</v>
      </c>
      <c r="D1146">
        <v>6000</v>
      </c>
      <c r="E1146" t="str">
        <f>INDEX(Accounts!$B$2:$B$9,MATCH(D1146,Accounts!$A$2:$A$9,0))</f>
        <v>Salaries &amp; Wages</v>
      </c>
      <c r="F1146" t="str">
        <f>INDEX(Accounts!$C$2:$C$9,MATCH(D1146,Accounts!$A$2:$A$9,0))</f>
        <v>Operating Expense</v>
      </c>
      <c r="G1146" t="s">
        <v>41</v>
      </c>
      <c r="H1146" t="s">
        <v>46</v>
      </c>
      <c r="I1146">
        <v>27864</v>
      </c>
    </row>
    <row r="1147" spans="1:9" x14ac:dyDescent="0.3">
      <c r="A1147" t="s">
        <v>1509</v>
      </c>
      <c r="B1147" t="s">
        <v>1510</v>
      </c>
      <c r="C1147">
        <f t="shared" si="17"/>
        <v>45962</v>
      </c>
      <c r="D1147">
        <v>6300</v>
      </c>
      <c r="E1147" t="str">
        <f>INDEX(Accounts!$B$2:$B$9,MATCH(D1147,Accounts!$A$2:$A$9,0))</f>
        <v>Logistics Expense</v>
      </c>
      <c r="F1147" t="str">
        <f>INDEX(Accounts!$C$2:$C$9,MATCH(D1147,Accounts!$A$2:$A$9,0))</f>
        <v>Operating Expense</v>
      </c>
      <c r="G1147" t="s">
        <v>43</v>
      </c>
      <c r="H1147" t="s">
        <v>44</v>
      </c>
      <c r="I1147">
        <v>9154</v>
      </c>
    </row>
    <row r="1148" spans="1:9" x14ac:dyDescent="0.3">
      <c r="A1148" t="s">
        <v>1511</v>
      </c>
      <c r="B1148" t="s">
        <v>1510</v>
      </c>
      <c r="C1148">
        <f t="shared" si="17"/>
        <v>45962</v>
      </c>
      <c r="D1148">
        <v>4100</v>
      </c>
      <c r="E1148" t="str">
        <f>INDEX(Accounts!$B$2:$B$9,MATCH(D1148,Accounts!$A$2:$A$9,0))</f>
        <v>Sales Returns &amp; Discounts</v>
      </c>
      <c r="F1148" t="str">
        <f>INDEX(Accounts!$C$2:$C$9,MATCH(D1148,Accounts!$A$2:$A$9,0))</f>
        <v>Contra Revenue</v>
      </c>
      <c r="G1148" t="s">
        <v>43</v>
      </c>
      <c r="H1148" t="s">
        <v>46</v>
      </c>
      <c r="I1148">
        <v>9059</v>
      </c>
    </row>
    <row r="1149" spans="1:9" x14ac:dyDescent="0.3">
      <c r="A1149" t="s">
        <v>1512</v>
      </c>
      <c r="B1149" t="s">
        <v>1510</v>
      </c>
      <c r="C1149">
        <f t="shared" si="17"/>
        <v>45962</v>
      </c>
      <c r="D1149">
        <v>6000</v>
      </c>
      <c r="E1149" t="str">
        <f>INDEX(Accounts!$B$2:$B$9,MATCH(D1149,Accounts!$A$2:$A$9,0))</f>
        <v>Salaries &amp; Wages</v>
      </c>
      <c r="F1149" t="str">
        <f>INDEX(Accounts!$C$2:$C$9,MATCH(D1149,Accounts!$A$2:$A$9,0))</f>
        <v>Operating Expense</v>
      </c>
      <c r="G1149" t="s">
        <v>45</v>
      </c>
      <c r="H1149" t="s">
        <v>42</v>
      </c>
      <c r="I1149">
        <v>9123</v>
      </c>
    </row>
    <row r="1150" spans="1:9" x14ac:dyDescent="0.3">
      <c r="A1150" t="s">
        <v>1513</v>
      </c>
      <c r="B1150" t="s">
        <v>1510</v>
      </c>
      <c r="C1150">
        <f t="shared" si="17"/>
        <v>45962</v>
      </c>
      <c r="D1150">
        <v>5000</v>
      </c>
      <c r="E1150" t="str">
        <f>INDEX(Accounts!$B$2:$B$9,MATCH(D1150,Accounts!$A$2:$A$9,0))</f>
        <v>Cost of Goods Sold</v>
      </c>
      <c r="F1150" t="str">
        <f>INDEX(Accounts!$C$2:$C$9,MATCH(D1150,Accounts!$A$2:$A$9,0))</f>
        <v>COGS</v>
      </c>
      <c r="G1150" t="s">
        <v>45</v>
      </c>
      <c r="H1150" t="s">
        <v>46</v>
      </c>
      <c r="I1150">
        <v>32840</v>
      </c>
    </row>
    <row r="1151" spans="1:9" x14ac:dyDescent="0.3">
      <c r="A1151" t="s">
        <v>1514</v>
      </c>
      <c r="B1151" t="s">
        <v>1510</v>
      </c>
      <c r="C1151">
        <f t="shared" si="17"/>
        <v>45962</v>
      </c>
      <c r="D1151">
        <v>6200</v>
      </c>
      <c r="E1151" t="str">
        <f>INDEX(Accounts!$B$2:$B$9,MATCH(D1151,Accounts!$A$2:$A$9,0))</f>
        <v>Rent &amp; Utilities</v>
      </c>
      <c r="F1151" t="str">
        <f>INDEX(Accounts!$C$2:$C$9,MATCH(D1151,Accounts!$A$2:$A$9,0))</f>
        <v>Operating Expense</v>
      </c>
      <c r="G1151" t="s">
        <v>41</v>
      </c>
      <c r="H1151" t="s">
        <v>46</v>
      </c>
      <c r="I1151">
        <v>7355</v>
      </c>
    </row>
    <row r="1152" spans="1:9" x14ac:dyDescent="0.3">
      <c r="A1152" t="s">
        <v>1515</v>
      </c>
      <c r="B1152" t="s">
        <v>1510</v>
      </c>
      <c r="C1152">
        <f t="shared" si="17"/>
        <v>45962</v>
      </c>
      <c r="D1152">
        <v>6300</v>
      </c>
      <c r="E1152" t="str">
        <f>INDEX(Accounts!$B$2:$B$9,MATCH(D1152,Accounts!$A$2:$A$9,0))</f>
        <v>Logistics Expense</v>
      </c>
      <c r="F1152" t="str">
        <f>INDEX(Accounts!$C$2:$C$9,MATCH(D1152,Accounts!$A$2:$A$9,0))</f>
        <v>Operating Expense</v>
      </c>
      <c r="G1152" t="s">
        <v>41</v>
      </c>
      <c r="H1152" t="s">
        <v>44</v>
      </c>
      <c r="I1152">
        <v>6420</v>
      </c>
    </row>
    <row r="1153" spans="1:9" x14ac:dyDescent="0.3">
      <c r="A1153" t="s">
        <v>1516</v>
      </c>
      <c r="B1153" t="s">
        <v>1517</v>
      </c>
      <c r="C1153">
        <f t="shared" si="17"/>
        <v>45962</v>
      </c>
      <c r="D1153">
        <v>6200</v>
      </c>
      <c r="E1153" t="str">
        <f>INDEX(Accounts!$B$2:$B$9,MATCH(D1153,Accounts!$A$2:$A$9,0))</f>
        <v>Rent &amp; Utilities</v>
      </c>
      <c r="F1153" t="str">
        <f>INDEX(Accounts!$C$2:$C$9,MATCH(D1153,Accounts!$A$2:$A$9,0))</f>
        <v>Operating Expense</v>
      </c>
      <c r="G1153" t="s">
        <v>41</v>
      </c>
      <c r="H1153" t="s">
        <v>42</v>
      </c>
      <c r="I1153">
        <v>8629</v>
      </c>
    </row>
    <row r="1154" spans="1:9" x14ac:dyDescent="0.3">
      <c r="A1154" t="s">
        <v>1518</v>
      </c>
      <c r="B1154" t="s">
        <v>1517</v>
      </c>
      <c r="C1154">
        <f t="shared" ref="C1154:C1217" si="18">DATE(YEAR(B1154),MONTH(B1154),1)</f>
        <v>45962</v>
      </c>
      <c r="D1154">
        <v>6000</v>
      </c>
      <c r="E1154" t="str">
        <f>INDEX(Accounts!$B$2:$B$9,MATCH(D1154,Accounts!$A$2:$A$9,0))</f>
        <v>Salaries &amp; Wages</v>
      </c>
      <c r="F1154" t="str">
        <f>INDEX(Accounts!$C$2:$C$9,MATCH(D1154,Accounts!$A$2:$A$9,0))</f>
        <v>Operating Expense</v>
      </c>
      <c r="G1154" t="s">
        <v>41</v>
      </c>
      <c r="H1154" t="s">
        <v>44</v>
      </c>
      <c r="I1154">
        <v>10197</v>
      </c>
    </row>
    <row r="1155" spans="1:9" x14ac:dyDescent="0.3">
      <c r="A1155" t="s">
        <v>1519</v>
      </c>
      <c r="B1155" t="s">
        <v>1517</v>
      </c>
      <c r="C1155">
        <f t="shared" si="18"/>
        <v>45962</v>
      </c>
      <c r="D1155">
        <v>5000</v>
      </c>
      <c r="E1155" t="str">
        <f>INDEX(Accounts!$B$2:$B$9,MATCH(D1155,Accounts!$A$2:$A$9,0))</f>
        <v>Cost of Goods Sold</v>
      </c>
      <c r="F1155" t="str">
        <f>INDEX(Accounts!$C$2:$C$9,MATCH(D1155,Accounts!$A$2:$A$9,0))</f>
        <v>COGS</v>
      </c>
      <c r="G1155" t="s">
        <v>41</v>
      </c>
      <c r="H1155" t="s">
        <v>42</v>
      </c>
      <c r="I1155">
        <v>39804</v>
      </c>
    </row>
    <row r="1156" spans="1:9" x14ac:dyDescent="0.3">
      <c r="A1156" t="s">
        <v>1520</v>
      </c>
      <c r="B1156" t="s">
        <v>1517</v>
      </c>
      <c r="C1156">
        <f t="shared" si="18"/>
        <v>45962</v>
      </c>
      <c r="D1156">
        <v>4000</v>
      </c>
      <c r="E1156" t="str">
        <f>INDEX(Accounts!$B$2:$B$9,MATCH(D1156,Accounts!$A$2:$A$9,0))</f>
        <v>Product Sales</v>
      </c>
      <c r="F1156" t="str">
        <f>INDEX(Accounts!$C$2:$C$9,MATCH(D1156,Accounts!$A$2:$A$9,0))</f>
        <v>Revenue</v>
      </c>
      <c r="G1156" t="s">
        <v>45</v>
      </c>
      <c r="H1156" t="s">
        <v>46</v>
      </c>
      <c r="I1156">
        <v>65404</v>
      </c>
    </row>
    <row r="1157" spans="1:9" x14ac:dyDescent="0.3">
      <c r="A1157" t="s">
        <v>1521</v>
      </c>
      <c r="B1157" t="s">
        <v>1522</v>
      </c>
      <c r="C1157">
        <f t="shared" si="18"/>
        <v>45962</v>
      </c>
      <c r="D1157">
        <v>4000</v>
      </c>
      <c r="E1157" t="str">
        <f>INDEX(Accounts!$B$2:$B$9,MATCH(D1157,Accounts!$A$2:$A$9,0))</f>
        <v>Product Sales</v>
      </c>
      <c r="F1157" t="str">
        <f>INDEX(Accounts!$C$2:$C$9,MATCH(D1157,Accounts!$A$2:$A$9,0))</f>
        <v>Revenue</v>
      </c>
      <c r="G1157" t="s">
        <v>47</v>
      </c>
      <c r="H1157" t="s">
        <v>42</v>
      </c>
      <c r="I1157">
        <v>86506</v>
      </c>
    </row>
    <row r="1158" spans="1:9" x14ac:dyDescent="0.3">
      <c r="A1158" t="s">
        <v>1523</v>
      </c>
      <c r="B1158" t="s">
        <v>1522</v>
      </c>
      <c r="C1158">
        <f t="shared" si="18"/>
        <v>45962</v>
      </c>
      <c r="D1158">
        <v>6100</v>
      </c>
      <c r="E1158" t="str">
        <f>INDEX(Accounts!$B$2:$B$9,MATCH(D1158,Accounts!$A$2:$A$9,0))</f>
        <v>Marketing Expense</v>
      </c>
      <c r="F1158" t="str">
        <f>INDEX(Accounts!$C$2:$C$9,MATCH(D1158,Accounts!$A$2:$A$9,0))</f>
        <v>Operating Expense</v>
      </c>
      <c r="G1158" t="s">
        <v>45</v>
      </c>
      <c r="H1158" t="s">
        <v>46</v>
      </c>
      <c r="I1158">
        <v>7864</v>
      </c>
    </row>
    <row r="1159" spans="1:9" x14ac:dyDescent="0.3">
      <c r="A1159" t="s">
        <v>1524</v>
      </c>
      <c r="B1159" t="s">
        <v>1525</v>
      </c>
      <c r="C1159">
        <f t="shared" si="18"/>
        <v>45962</v>
      </c>
      <c r="D1159">
        <v>6000</v>
      </c>
      <c r="E1159" t="str">
        <f>INDEX(Accounts!$B$2:$B$9,MATCH(D1159,Accounts!$A$2:$A$9,0))</f>
        <v>Salaries &amp; Wages</v>
      </c>
      <c r="F1159" t="str">
        <f>INDEX(Accounts!$C$2:$C$9,MATCH(D1159,Accounts!$A$2:$A$9,0))</f>
        <v>Operating Expense</v>
      </c>
      <c r="G1159" t="s">
        <v>41</v>
      </c>
      <c r="H1159" t="s">
        <v>42</v>
      </c>
      <c r="I1159">
        <v>25990</v>
      </c>
    </row>
    <row r="1160" spans="1:9" x14ac:dyDescent="0.3">
      <c r="A1160" t="s">
        <v>1526</v>
      </c>
      <c r="B1160" t="s">
        <v>1525</v>
      </c>
      <c r="C1160">
        <f t="shared" si="18"/>
        <v>45962</v>
      </c>
      <c r="D1160">
        <v>4000</v>
      </c>
      <c r="E1160" t="str">
        <f>INDEX(Accounts!$B$2:$B$9,MATCH(D1160,Accounts!$A$2:$A$9,0))</f>
        <v>Product Sales</v>
      </c>
      <c r="F1160" t="str">
        <f>INDEX(Accounts!$C$2:$C$9,MATCH(D1160,Accounts!$A$2:$A$9,0))</f>
        <v>Revenue</v>
      </c>
      <c r="G1160" t="s">
        <v>47</v>
      </c>
      <c r="H1160" t="s">
        <v>46</v>
      </c>
      <c r="I1160">
        <v>67033</v>
      </c>
    </row>
    <row r="1161" spans="1:9" x14ac:dyDescent="0.3">
      <c r="A1161" t="s">
        <v>1527</v>
      </c>
      <c r="B1161" t="s">
        <v>1528</v>
      </c>
      <c r="C1161">
        <f t="shared" si="18"/>
        <v>45962</v>
      </c>
      <c r="D1161">
        <v>4000</v>
      </c>
      <c r="E1161" t="str">
        <f>INDEX(Accounts!$B$2:$B$9,MATCH(D1161,Accounts!$A$2:$A$9,0))</f>
        <v>Product Sales</v>
      </c>
      <c r="F1161" t="str">
        <f>INDEX(Accounts!$C$2:$C$9,MATCH(D1161,Accounts!$A$2:$A$9,0))</f>
        <v>Revenue</v>
      </c>
      <c r="G1161" t="s">
        <v>41</v>
      </c>
      <c r="H1161" t="s">
        <v>42</v>
      </c>
      <c r="I1161">
        <v>165239</v>
      </c>
    </row>
    <row r="1162" spans="1:9" x14ac:dyDescent="0.3">
      <c r="A1162" t="s">
        <v>1529</v>
      </c>
      <c r="B1162" t="s">
        <v>1528</v>
      </c>
      <c r="C1162">
        <f t="shared" si="18"/>
        <v>45962</v>
      </c>
      <c r="D1162">
        <v>4000</v>
      </c>
      <c r="E1162" t="str">
        <f>INDEX(Accounts!$B$2:$B$9,MATCH(D1162,Accounts!$A$2:$A$9,0))</f>
        <v>Product Sales</v>
      </c>
      <c r="F1162" t="str">
        <f>INDEX(Accounts!$C$2:$C$9,MATCH(D1162,Accounts!$A$2:$A$9,0))</f>
        <v>Revenue</v>
      </c>
      <c r="G1162" t="s">
        <v>48</v>
      </c>
      <c r="H1162" t="s">
        <v>46</v>
      </c>
      <c r="I1162">
        <v>116047</v>
      </c>
    </row>
    <row r="1163" spans="1:9" x14ac:dyDescent="0.3">
      <c r="A1163" t="s">
        <v>1530</v>
      </c>
      <c r="B1163" t="s">
        <v>1528</v>
      </c>
      <c r="C1163">
        <f t="shared" si="18"/>
        <v>45962</v>
      </c>
      <c r="D1163">
        <v>6300</v>
      </c>
      <c r="E1163" t="str">
        <f>INDEX(Accounts!$B$2:$B$9,MATCH(D1163,Accounts!$A$2:$A$9,0))</f>
        <v>Logistics Expense</v>
      </c>
      <c r="F1163" t="str">
        <f>INDEX(Accounts!$C$2:$C$9,MATCH(D1163,Accounts!$A$2:$A$9,0))</f>
        <v>Operating Expense</v>
      </c>
      <c r="G1163" t="s">
        <v>47</v>
      </c>
      <c r="H1163" t="s">
        <v>44</v>
      </c>
      <c r="I1163">
        <v>11968</v>
      </c>
    </row>
    <row r="1164" spans="1:9" x14ac:dyDescent="0.3">
      <c r="A1164" t="s">
        <v>1531</v>
      </c>
      <c r="B1164" t="s">
        <v>1528</v>
      </c>
      <c r="C1164">
        <f t="shared" si="18"/>
        <v>45962</v>
      </c>
      <c r="D1164">
        <v>6000</v>
      </c>
      <c r="E1164" t="str">
        <f>INDEX(Accounts!$B$2:$B$9,MATCH(D1164,Accounts!$A$2:$A$9,0))</f>
        <v>Salaries &amp; Wages</v>
      </c>
      <c r="F1164" t="str">
        <f>INDEX(Accounts!$C$2:$C$9,MATCH(D1164,Accounts!$A$2:$A$9,0))</f>
        <v>Operating Expense</v>
      </c>
      <c r="G1164" t="s">
        <v>41</v>
      </c>
      <c r="H1164" t="s">
        <v>44</v>
      </c>
      <c r="I1164">
        <v>13603</v>
      </c>
    </row>
    <row r="1165" spans="1:9" x14ac:dyDescent="0.3">
      <c r="A1165" t="s">
        <v>1532</v>
      </c>
      <c r="B1165" t="s">
        <v>1533</v>
      </c>
      <c r="C1165">
        <f t="shared" si="18"/>
        <v>45962</v>
      </c>
      <c r="D1165">
        <v>6000</v>
      </c>
      <c r="E1165" t="str">
        <f>INDEX(Accounts!$B$2:$B$9,MATCH(D1165,Accounts!$A$2:$A$9,0))</f>
        <v>Salaries &amp; Wages</v>
      </c>
      <c r="F1165" t="str">
        <f>INDEX(Accounts!$C$2:$C$9,MATCH(D1165,Accounts!$A$2:$A$9,0))</f>
        <v>Operating Expense</v>
      </c>
      <c r="G1165" t="s">
        <v>43</v>
      </c>
      <c r="H1165" t="s">
        <v>42</v>
      </c>
      <c r="I1165">
        <v>17004</v>
      </c>
    </row>
    <row r="1166" spans="1:9" x14ac:dyDescent="0.3">
      <c r="A1166" t="s">
        <v>1534</v>
      </c>
      <c r="B1166" t="s">
        <v>1533</v>
      </c>
      <c r="C1166">
        <f t="shared" si="18"/>
        <v>45962</v>
      </c>
      <c r="D1166">
        <v>4000</v>
      </c>
      <c r="E1166" t="str">
        <f>INDEX(Accounts!$B$2:$B$9,MATCH(D1166,Accounts!$A$2:$A$9,0))</f>
        <v>Product Sales</v>
      </c>
      <c r="F1166" t="str">
        <f>INDEX(Accounts!$C$2:$C$9,MATCH(D1166,Accounts!$A$2:$A$9,0))</f>
        <v>Revenue</v>
      </c>
      <c r="G1166" t="s">
        <v>41</v>
      </c>
      <c r="H1166" t="s">
        <v>44</v>
      </c>
      <c r="I1166">
        <v>45430</v>
      </c>
    </row>
    <row r="1167" spans="1:9" x14ac:dyDescent="0.3">
      <c r="A1167" t="s">
        <v>1535</v>
      </c>
      <c r="B1167" t="s">
        <v>1536</v>
      </c>
      <c r="C1167">
        <f t="shared" si="18"/>
        <v>45962</v>
      </c>
      <c r="D1167">
        <v>4000</v>
      </c>
      <c r="E1167" t="str">
        <f>INDEX(Accounts!$B$2:$B$9,MATCH(D1167,Accounts!$A$2:$A$9,0))</f>
        <v>Product Sales</v>
      </c>
      <c r="F1167" t="str">
        <f>INDEX(Accounts!$C$2:$C$9,MATCH(D1167,Accounts!$A$2:$A$9,0))</f>
        <v>Revenue</v>
      </c>
      <c r="G1167" t="s">
        <v>45</v>
      </c>
      <c r="H1167" t="s">
        <v>46</v>
      </c>
      <c r="I1167">
        <v>46823</v>
      </c>
    </row>
    <row r="1168" spans="1:9" x14ac:dyDescent="0.3">
      <c r="A1168" t="s">
        <v>1537</v>
      </c>
      <c r="B1168" t="s">
        <v>1536</v>
      </c>
      <c r="C1168">
        <f t="shared" si="18"/>
        <v>45962</v>
      </c>
      <c r="D1168">
        <v>5000</v>
      </c>
      <c r="E1168" t="str">
        <f>INDEX(Accounts!$B$2:$B$9,MATCH(D1168,Accounts!$A$2:$A$9,0))</f>
        <v>Cost of Goods Sold</v>
      </c>
      <c r="F1168" t="str">
        <f>INDEX(Accounts!$C$2:$C$9,MATCH(D1168,Accounts!$A$2:$A$9,0))</f>
        <v>COGS</v>
      </c>
      <c r="G1168" t="s">
        <v>41</v>
      </c>
      <c r="H1168" t="s">
        <v>46</v>
      </c>
      <c r="I1168">
        <v>24302</v>
      </c>
    </row>
    <row r="1169" spans="1:9" x14ac:dyDescent="0.3">
      <c r="A1169" t="s">
        <v>1538</v>
      </c>
      <c r="B1169" t="s">
        <v>1536</v>
      </c>
      <c r="C1169">
        <f t="shared" si="18"/>
        <v>45962</v>
      </c>
      <c r="D1169">
        <v>6400</v>
      </c>
      <c r="E1169" t="str">
        <f>INDEX(Accounts!$B$2:$B$9,MATCH(D1169,Accounts!$A$2:$A$9,0))</f>
        <v>Software &amp; Admin</v>
      </c>
      <c r="F1169" t="str">
        <f>INDEX(Accounts!$C$2:$C$9,MATCH(D1169,Accounts!$A$2:$A$9,0))</f>
        <v>Operating Expense</v>
      </c>
      <c r="G1169" t="s">
        <v>43</v>
      </c>
      <c r="H1169" t="s">
        <v>44</v>
      </c>
      <c r="I1169">
        <v>6163</v>
      </c>
    </row>
    <row r="1170" spans="1:9" x14ac:dyDescent="0.3">
      <c r="A1170" t="s">
        <v>1539</v>
      </c>
      <c r="B1170" t="s">
        <v>1536</v>
      </c>
      <c r="C1170">
        <f t="shared" si="18"/>
        <v>45962</v>
      </c>
      <c r="D1170">
        <v>6400</v>
      </c>
      <c r="E1170" t="str">
        <f>INDEX(Accounts!$B$2:$B$9,MATCH(D1170,Accounts!$A$2:$A$9,0))</f>
        <v>Software &amp; Admin</v>
      </c>
      <c r="F1170" t="str">
        <f>INDEX(Accounts!$C$2:$C$9,MATCH(D1170,Accounts!$A$2:$A$9,0))</f>
        <v>Operating Expense</v>
      </c>
      <c r="G1170" t="s">
        <v>43</v>
      </c>
      <c r="H1170" t="s">
        <v>44</v>
      </c>
      <c r="I1170">
        <v>7755</v>
      </c>
    </row>
    <row r="1171" spans="1:9" x14ac:dyDescent="0.3">
      <c r="A1171" t="s">
        <v>1540</v>
      </c>
      <c r="B1171" t="s">
        <v>1541</v>
      </c>
      <c r="C1171">
        <f t="shared" si="18"/>
        <v>45962</v>
      </c>
      <c r="D1171">
        <v>6000</v>
      </c>
      <c r="E1171" t="str">
        <f>INDEX(Accounts!$B$2:$B$9,MATCH(D1171,Accounts!$A$2:$A$9,0))</f>
        <v>Salaries &amp; Wages</v>
      </c>
      <c r="F1171" t="str">
        <f>INDEX(Accounts!$C$2:$C$9,MATCH(D1171,Accounts!$A$2:$A$9,0))</f>
        <v>Operating Expense</v>
      </c>
      <c r="G1171" t="s">
        <v>45</v>
      </c>
      <c r="H1171" t="s">
        <v>42</v>
      </c>
      <c r="I1171">
        <v>30569</v>
      </c>
    </row>
    <row r="1172" spans="1:9" x14ac:dyDescent="0.3">
      <c r="A1172" t="s">
        <v>1542</v>
      </c>
      <c r="B1172" t="s">
        <v>1541</v>
      </c>
      <c r="C1172">
        <f t="shared" si="18"/>
        <v>45962</v>
      </c>
      <c r="D1172">
        <v>6000</v>
      </c>
      <c r="E1172" t="str">
        <f>INDEX(Accounts!$B$2:$B$9,MATCH(D1172,Accounts!$A$2:$A$9,0))</f>
        <v>Salaries &amp; Wages</v>
      </c>
      <c r="F1172" t="str">
        <f>INDEX(Accounts!$C$2:$C$9,MATCH(D1172,Accounts!$A$2:$A$9,0))</f>
        <v>Operating Expense</v>
      </c>
      <c r="G1172" t="s">
        <v>41</v>
      </c>
      <c r="H1172" t="s">
        <v>46</v>
      </c>
      <c r="I1172">
        <v>23289</v>
      </c>
    </row>
    <row r="1173" spans="1:9" x14ac:dyDescent="0.3">
      <c r="A1173" t="s">
        <v>1543</v>
      </c>
      <c r="B1173" t="s">
        <v>1544</v>
      </c>
      <c r="C1173">
        <f t="shared" si="18"/>
        <v>45962</v>
      </c>
      <c r="D1173">
        <v>6000</v>
      </c>
      <c r="E1173" t="str">
        <f>INDEX(Accounts!$B$2:$B$9,MATCH(D1173,Accounts!$A$2:$A$9,0))</f>
        <v>Salaries &amp; Wages</v>
      </c>
      <c r="F1173" t="str">
        <f>INDEX(Accounts!$C$2:$C$9,MATCH(D1173,Accounts!$A$2:$A$9,0))</f>
        <v>Operating Expense</v>
      </c>
      <c r="G1173" t="s">
        <v>41</v>
      </c>
      <c r="H1173" t="s">
        <v>44</v>
      </c>
      <c r="I1173">
        <v>30590</v>
      </c>
    </row>
    <row r="1174" spans="1:9" x14ac:dyDescent="0.3">
      <c r="A1174" t="s">
        <v>1545</v>
      </c>
      <c r="B1174" t="s">
        <v>1544</v>
      </c>
      <c r="C1174">
        <f t="shared" si="18"/>
        <v>45962</v>
      </c>
      <c r="D1174">
        <v>4100</v>
      </c>
      <c r="E1174" t="str">
        <f>INDEX(Accounts!$B$2:$B$9,MATCH(D1174,Accounts!$A$2:$A$9,0))</f>
        <v>Sales Returns &amp; Discounts</v>
      </c>
      <c r="F1174" t="str">
        <f>INDEX(Accounts!$C$2:$C$9,MATCH(D1174,Accounts!$A$2:$A$9,0))</f>
        <v>Contra Revenue</v>
      </c>
      <c r="G1174" t="s">
        <v>43</v>
      </c>
      <c r="H1174" t="s">
        <v>44</v>
      </c>
      <c r="I1174">
        <v>2809</v>
      </c>
    </row>
    <row r="1175" spans="1:9" x14ac:dyDescent="0.3">
      <c r="A1175" t="s">
        <v>1546</v>
      </c>
      <c r="B1175" t="s">
        <v>1547</v>
      </c>
      <c r="C1175">
        <f t="shared" si="18"/>
        <v>45962</v>
      </c>
      <c r="D1175">
        <v>6000</v>
      </c>
      <c r="E1175" t="str">
        <f>INDEX(Accounts!$B$2:$B$9,MATCH(D1175,Accounts!$A$2:$A$9,0))</f>
        <v>Salaries &amp; Wages</v>
      </c>
      <c r="F1175" t="str">
        <f>INDEX(Accounts!$C$2:$C$9,MATCH(D1175,Accounts!$A$2:$A$9,0))</f>
        <v>Operating Expense</v>
      </c>
      <c r="G1175" t="s">
        <v>48</v>
      </c>
      <c r="H1175" t="s">
        <v>44</v>
      </c>
      <c r="I1175">
        <v>22683</v>
      </c>
    </row>
    <row r="1176" spans="1:9" x14ac:dyDescent="0.3">
      <c r="A1176" t="s">
        <v>1548</v>
      </c>
      <c r="B1176" t="s">
        <v>1547</v>
      </c>
      <c r="C1176">
        <f t="shared" si="18"/>
        <v>45962</v>
      </c>
      <c r="D1176">
        <v>5000</v>
      </c>
      <c r="E1176" t="str">
        <f>INDEX(Accounts!$B$2:$B$9,MATCH(D1176,Accounts!$A$2:$A$9,0))</f>
        <v>Cost of Goods Sold</v>
      </c>
      <c r="F1176" t="str">
        <f>INDEX(Accounts!$C$2:$C$9,MATCH(D1176,Accounts!$A$2:$A$9,0))</f>
        <v>COGS</v>
      </c>
      <c r="G1176" t="s">
        <v>43</v>
      </c>
      <c r="H1176" t="s">
        <v>46</v>
      </c>
      <c r="I1176">
        <v>48812</v>
      </c>
    </row>
    <row r="1177" spans="1:9" x14ac:dyDescent="0.3">
      <c r="A1177" t="s">
        <v>1549</v>
      </c>
      <c r="B1177" t="s">
        <v>1547</v>
      </c>
      <c r="C1177">
        <f t="shared" si="18"/>
        <v>45962</v>
      </c>
      <c r="D1177">
        <v>6100</v>
      </c>
      <c r="E1177" t="str">
        <f>INDEX(Accounts!$B$2:$B$9,MATCH(D1177,Accounts!$A$2:$A$9,0))</f>
        <v>Marketing Expense</v>
      </c>
      <c r="F1177" t="str">
        <f>INDEX(Accounts!$C$2:$C$9,MATCH(D1177,Accounts!$A$2:$A$9,0))</f>
        <v>Operating Expense</v>
      </c>
      <c r="G1177" t="s">
        <v>45</v>
      </c>
      <c r="H1177" t="s">
        <v>46</v>
      </c>
      <c r="I1177">
        <v>10534</v>
      </c>
    </row>
    <row r="1178" spans="1:9" x14ac:dyDescent="0.3">
      <c r="A1178" t="s">
        <v>1550</v>
      </c>
      <c r="B1178" t="s">
        <v>1547</v>
      </c>
      <c r="C1178">
        <f t="shared" si="18"/>
        <v>45962</v>
      </c>
      <c r="D1178">
        <v>5000</v>
      </c>
      <c r="E1178" t="str">
        <f>INDEX(Accounts!$B$2:$B$9,MATCH(D1178,Accounts!$A$2:$A$9,0))</f>
        <v>Cost of Goods Sold</v>
      </c>
      <c r="F1178" t="str">
        <f>INDEX(Accounts!$C$2:$C$9,MATCH(D1178,Accounts!$A$2:$A$9,0))</f>
        <v>COGS</v>
      </c>
      <c r="G1178" t="s">
        <v>41</v>
      </c>
      <c r="H1178" t="s">
        <v>44</v>
      </c>
      <c r="I1178">
        <v>46318</v>
      </c>
    </row>
    <row r="1179" spans="1:9" x14ac:dyDescent="0.3">
      <c r="A1179" t="s">
        <v>1551</v>
      </c>
      <c r="B1179" t="s">
        <v>1547</v>
      </c>
      <c r="C1179">
        <f t="shared" si="18"/>
        <v>45962</v>
      </c>
      <c r="D1179">
        <v>4100</v>
      </c>
      <c r="E1179" t="str">
        <f>INDEX(Accounts!$B$2:$B$9,MATCH(D1179,Accounts!$A$2:$A$9,0))</f>
        <v>Sales Returns &amp; Discounts</v>
      </c>
      <c r="F1179" t="str">
        <f>INDEX(Accounts!$C$2:$C$9,MATCH(D1179,Accounts!$A$2:$A$9,0))</f>
        <v>Contra Revenue</v>
      </c>
      <c r="G1179" t="s">
        <v>45</v>
      </c>
      <c r="H1179" t="s">
        <v>46</v>
      </c>
      <c r="I1179">
        <v>7251</v>
      </c>
    </row>
    <row r="1180" spans="1:9" x14ac:dyDescent="0.3">
      <c r="A1180" t="s">
        <v>1552</v>
      </c>
      <c r="B1180" t="s">
        <v>1547</v>
      </c>
      <c r="C1180">
        <f t="shared" si="18"/>
        <v>45962</v>
      </c>
      <c r="D1180">
        <v>6000</v>
      </c>
      <c r="E1180" t="str">
        <f>INDEX(Accounts!$B$2:$B$9,MATCH(D1180,Accounts!$A$2:$A$9,0))</f>
        <v>Salaries &amp; Wages</v>
      </c>
      <c r="F1180" t="str">
        <f>INDEX(Accounts!$C$2:$C$9,MATCH(D1180,Accounts!$A$2:$A$9,0))</f>
        <v>Operating Expense</v>
      </c>
      <c r="G1180" t="s">
        <v>43</v>
      </c>
      <c r="H1180" t="s">
        <v>46</v>
      </c>
      <c r="I1180">
        <v>22178</v>
      </c>
    </row>
    <row r="1181" spans="1:9" x14ac:dyDescent="0.3">
      <c r="A1181" t="s">
        <v>1553</v>
      </c>
      <c r="B1181" t="s">
        <v>1554</v>
      </c>
      <c r="C1181">
        <f t="shared" si="18"/>
        <v>45962</v>
      </c>
      <c r="D1181">
        <v>4000</v>
      </c>
      <c r="E1181" t="str">
        <f>INDEX(Accounts!$B$2:$B$9,MATCH(D1181,Accounts!$A$2:$A$9,0))</f>
        <v>Product Sales</v>
      </c>
      <c r="F1181" t="str">
        <f>INDEX(Accounts!$C$2:$C$9,MATCH(D1181,Accounts!$A$2:$A$9,0))</f>
        <v>Revenue</v>
      </c>
      <c r="G1181" t="s">
        <v>45</v>
      </c>
      <c r="H1181" t="s">
        <v>46</v>
      </c>
      <c r="I1181">
        <v>45988</v>
      </c>
    </row>
    <row r="1182" spans="1:9" x14ac:dyDescent="0.3">
      <c r="A1182" t="s">
        <v>1555</v>
      </c>
      <c r="B1182" t="s">
        <v>1554</v>
      </c>
      <c r="C1182">
        <f t="shared" si="18"/>
        <v>45962</v>
      </c>
      <c r="D1182">
        <v>5000</v>
      </c>
      <c r="E1182" t="str">
        <f>INDEX(Accounts!$B$2:$B$9,MATCH(D1182,Accounts!$A$2:$A$9,0))</f>
        <v>Cost of Goods Sold</v>
      </c>
      <c r="F1182" t="str">
        <f>INDEX(Accounts!$C$2:$C$9,MATCH(D1182,Accounts!$A$2:$A$9,0))</f>
        <v>COGS</v>
      </c>
      <c r="G1182" t="s">
        <v>45</v>
      </c>
      <c r="H1182" t="s">
        <v>42</v>
      </c>
      <c r="I1182">
        <v>18932</v>
      </c>
    </row>
    <row r="1183" spans="1:9" x14ac:dyDescent="0.3">
      <c r="A1183" t="s">
        <v>1556</v>
      </c>
      <c r="B1183" t="s">
        <v>1554</v>
      </c>
      <c r="C1183">
        <f t="shared" si="18"/>
        <v>45962</v>
      </c>
      <c r="D1183">
        <v>6300</v>
      </c>
      <c r="E1183" t="str">
        <f>INDEX(Accounts!$B$2:$B$9,MATCH(D1183,Accounts!$A$2:$A$9,0))</f>
        <v>Logistics Expense</v>
      </c>
      <c r="F1183" t="str">
        <f>INDEX(Accounts!$C$2:$C$9,MATCH(D1183,Accounts!$A$2:$A$9,0))</f>
        <v>Operating Expense</v>
      </c>
      <c r="G1183" t="s">
        <v>41</v>
      </c>
      <c r="H1183" t="s">
        <v>46</v>
      </c>
      <c r="I1183">
        <v>8276</v>
      </c>
    </row>
    <row r="1184" spans="1:9" x14ac:dyDescent="0.3">
      <c r="A1184" t="s">
        <v>1557</v>
      </c>
      <c r="B1184" t="s">
        <v>1558</v>
      </c>
      <c r="C1184">
        <f t="shared" si="18"/>
        <v>45962</v>
      </c>
      <c r="D1184">
        <v>6000</v>
      </c>
      <c r="E1184" t="str">
        <f>INDEX(Accounts!$B$2:$B$9,MATCH(D1184,Accounts!$A$2:$A$9,0))</f>
        <v>Salaries &amp; Wages</v>
      </c>
      <c r="F1184" t="str">
        <f>INDEX(Accounts!$C$2:$C$9,MATCH(D1184,Accounts!$A$2:$A$9,0))</f>
        <v>Operating Expense</v>
      </c>
      <c r="G1184" t="s">
        <v>43</v>
      </c>
      <c r="H1184" t="s">
        <v>44</v>
      </c>
      <c r="I1184">
        <v>25678</v>
      </c>
    </row>
    <row r="1185" spans="1:9" x14ac:dyDescent="0.3">
      <c r="A1185" t="s">
        <v>1559</v>
      </c>
      <c r="B1185" t="s">
        <v>1558</v>
      </c>
      <c r="C1185">
        <f t="shared" si="18"/>
        <v>45962</v>
      </c>
      <c r="D1185">
        <v>5000</v>
      </c>
      <c r="E1185" t="str">
        <f>INDEX(Accounts!$B$2:$B$9,MATCH(D1185,Accounts!$A$2:$A$9,0))</f>
        <v>Cost of Goods Sold</v>
      </c>
      <c r="F1185" t="str">
        <f>INDEX(Accounts!$C$2:$C$9,MATCH(D1185,Accounts!$A$2:$A$9,0))</f>
        <v>COGS</v>
      </c>
      <c r="G1185" t="s">
        <v>41</v>
      </c>
      <c r="H1185" t="s">
        <v>42</v>
      </c>
      <c r="I1185">
        <v>17875</v>
      </c>
    </row>
    <row r="1186" spans="1:9" x14ac:dyDescent="0.3">
      <c r="A1186" t="s">
        <v>1560</v>
      </c>
      <c r="B1186" t="s">
        <v>1558</v>
      </c>
      <c r="C1186">
        <f t="shared" si="18"/>
        <v>45962</v>
      </c>
      <c r="D1186">
        <v>5000</v>
      </c>
      <c r="E1186" t="str">
        <f>INDEX(Accounts!$B$2:$B$9,MATCH(D1186,Accounts!$A$2:$A$9,0))</f>
        <v>Cost of Goods Sold</v>
      </c>
      <c r="F1186" t="str">
        <f>INDEX(Accounts!$C$2:$C$9,MATCH(D1186,Accounts!$A$2:$A$9,0))</f>
        <v>COGS</v>
      </c>
      <c r="G1186" t="s">
        <v>41</v>
      </c>
      <c r="H1186" t="s">
        <v>46</v>
      </c>
      <c r="I1186">
        <v>40118</v>
      </c>
    </row>
    <row r="1187" spans="1:9" x14ac:dyDescent="0.3">
      <c r="A1187" t="s">
        <v>1561</v>
      </c>
      <c r="B1187" t="s">
        <v>1562</v>
      </c>
      <c r="C1187">
        <f t="shared" si="18"/>
        <v>45962</v>
      </c>
      <c r="D1187">
        <v>5000</v>
      </c>
      <c r="E1187" t="str">
        <f>INDEX(Accounts!$B$2:$B$9,MATCH(D1187,Accounts!$A$2:$A$9,0))</f>
        <v>Cost of Goods Sold</v>
      </c>
      <c r="F1187" t="str">
        <f>INDEX(Accounts!$C$2:$C$9,MATCH(D1187,Accounts!$A$2:$A$9,0))</f>
        <v>COGS</v>
      </c>
      <c r="G1187" t="s">
        <v>41</v>
      </c>
      <c r="H1187" t="s">
        <v>46</v>
      </c>
      <c r="I1187">
        <v>26777</v>
      </c>
    </row>
    <row r="1188" spans="1:9" x14ac:dyDescent="0.3">
      <c r="A1188" t="s">
        <v>1563</v>
      </c>
      <c r="B1188" t="s">
        <v>1562</v>
      </c>
      <c r="C1188">
        <f t="shared" si="18"/>
        <v>45962</v>
      </c>
      <c r="D1188">
        <v>6000</v>
      </c>
      <c r="E1188" t="str">
        <f>INDEX(Accounts!$B$2:$B$9,MATCH(D1188,Accounts!$A$2:$A$9,0))</f>
        <v>Salaries &amp; Wages</v>
      </c>
      <c r="F1188" t="str">
        <f>INDEX(Accounts!$C$2:$C$9,MATCH(D1188,Accounts!$A$2:$A$9,0))</f>
        <v>Operating Expense</v>
      </c>
      <c r="G1188" t="s">
        <v>43</v>
      </c>
      <c r="H1188" t="s">
        <v>46</v>
      </c>
      <c r="I1188">
        <v>25964</v>
      </c>
    </row>
    <row r="1189" spans="1:9" x14ac:dyDescent="0.3">
      <c r="A1189" t="s">
        <v>1564</v>
      </c>
      <c r="B1189" t="s">
        <v>1562</v>
      </c>
      <c r="C1189">
        <f t="shared" si="18"/>
        <v>45962</v>
      </c>
      <c r="D1189">
        <v>4000</v>
      </c>
      <c r="E1189" t="str">
        <f>INDEX(Accounts!$B$2:$B$9,MATCH(D1189,Accounts!$A$2:$A$9,0))</f>
        <v>Product Sales</v>
      </c>
      <c r="F1189" t="str">
        <f>INDEX(Accounts!$C$2:$C$9,MATCH(D1189,Accounts!$A$2:$A$9,0))</f>
        <v>Revenue</v>
      </c>
      <c r="G1189" t="s">
        <v>41</v>
      </c>
      <c r="H1189" t="s">
        <v>44</v>
      </c>
      <c r="I1189">
        <v>87596</v>
      </c>
    </row>
    <row r="1190" spans="1:9" x14ac:dyDescent="0.3">
      <c r="A1190" t="s">
        <v>1565</v>
      </c>
      <c r="B1190" t="s">
        <v>1562</v>
      </c>
      <c r="C1190">
        <f t="shared" si="18"/>
        <v>45962</v>
      </c>
      <c r="D1190">
        <v>4000</v>
      </c>
      <c r="E1190" t="str">
        <f>INDEX(Accounts!$B$2:$B$9,MATCH(D1190,Accounts!$A$2:$A$9,0))</f>
        <v>Product Sales</v>
      </c>
      <c r="F1190" t="str">
        <f>INDEX(Accounts!$C$2:$C$9,MATCH(D1190,Accounts!$A$2:$A$9,0))</f>
        <v>Revenue</v>
      </c>
      <c r="G1190" t="s">
        <v>41</v>
      </c>
      <c r="H1190" t="s">
        <v>42</v>
      </c>
      <c r="I1190">
        <v>160688</v>
      </c>
    </row>
    <row r="1191" spans="1:9" x14ac:dyDescent="0.3">
      <c r="A1191" t="s">
        <v>1566</v>
      </c>
      <c r="B1191" t="s">
        <v>1562</v>
      </c>
      <c r="C1191">
        <f t="shared" si="18"/>
        <v>45962</v>
      </c>
      <c r="D1191">
        <v>6000</v>
      </c>
      <c r="E1191" t="str">
        <f>INDEX(Accounts!$B$2:$B$9,MATCH(D1191,Accounts!$A$2:$A$9,0))</f>
        <v>Salaries &amp; Wages</v>
      </c>
      <c r="F1191" t="str">
        <f>INDEX(Accounts!$C$2:$C$9,MATCH(D1191,Accounts!$A$2:$A$9,0))</f>
        <v>Operating Expense</v>
      </c>
      <c r="G1191" t="s">
        <v>45</v>
      </c>
      <c r="H1191" t="s">
        <v>42</v>
      </c>
      <c r="I1191">
        <v>25771</v>
      </c>
    </row>
    <row r="1192" spans="1:9" x14ac:dyDescent="0.3">
      <c r="A1192" t="s">
        <v>1567</v>
      </c>
      <c r="B1192" t="s">
        <v>1568</v>
      </c>
      <c r="C1192">
        <f t="shared" si="18"/>
        <v>45962</v>
      </c>
      <c r="D1192">
        <v>5000</v>
      </c>
      <c r="E1192" t="str">
        <f>INDEX(Accounts!$B$2:$B$9,MATCH(D1192,Accounts!$A$2:$A$9,0))</f>
        <v>Cost of Goods Sold</v>
      </c>
      <c r="F1192" t="str">
        <f>INDEX(Accounts!$C$2:$C$9,MATCH(D1192,Accounts!$A$2:$A$9,0))</f>
        <v>COGS</v>
      </c>
      <c r="G1192" t="s">
        <v>41</v>
      </c>
      <c r="H1192" t="s">
        <v>44</v>
      </c>
      <c r="I1192">
        <v>60295</v>
      </c>
    </row>
    <row r="1193" spans="1:9" x14ac:dyDescent="0.3">
      <c r="A1193" t="s">
        <v>1569</v>
      </c>
      <c r="B1193" t="s">
        <v>1568</v>
      </c>
      <c r="C1193">
        <f t="shared" si="18"/>
        <v>45962</v>
      </c>
      <c r="D1193">
        <v>4000</v>
      </c>
      <c r="E1193" t="str">
        <f>INDEX(Accounts!$B$2:$B$9,MATCH(D1193,Accounts!$A$2:$A$9,0))</f>
        <v>Product Sales</v>
      </c>
      <c r="F1193" t="str">
        <f>INDEX(Accounts!$C$2:$C$9,MATCH(D1193,Accounts!$A$2:$A$9,0))</f>
        <v>Revenue</v>
      </c>
      <c r="G1193" t="s">
        <v>45</v>
      </c>
      <c r="H1193" t="s">
        <v>42</v>
      </c>
      <c r="I1193">
        <v>148948</v>
      </c>
    </row>
    <row r="1194" spans="1:9" x14ac:dyDescent="0.3">
      <c r="A1194" t="s">
        <v>1570</v>
      </c>
      <c r="B1194" t="s">
        <v>1568</v>
      </c>
      <c r="C1194">
        <f t="shared" si="18"/>
        <v>45962</v>
      </c>
      <c r="D1194">
        <v>4000</v>
      </c>
      <c r="E1194" t="str">
        <f>INDEX(Accounts!$B$2:$B$9,MATCH(D1194,Accounts!$A$2:$A$9,0))</f>
        <v>Product Sales</v>
      </c>
      <c r="F1194" t="str">
        <f>INDEX(Accounts!$C$2:$C$9,MATCH(D1194,Accounts!$A$2:$A$9,0))</f>
        <v>Revenue</v>
      </c>
      <c r="G1194" t="s">
        <v>41</v>
      </c>
      <c r="H1194" t="s">
        <v>42</v>
      </c>
      <c r="I1194">
        <v>113715</v>
      </c>
    </row>
    <row r="1195" spans="1:9" x14ac:dyDescent="0.3">
      <c r="A1195" t="s">
        <v>1571</v>
      </c>
      <c r="B1195" t="s">
        <v>1568</v>
      </c>
      <c r="C1195">
        <f t="shared" si="18"/>
        <v>45962</v>
      </c>
      <c r="D1195">
        <v>6000</v>
      </c>
      <c r="E1195" t="str">
        <f>INDEX(Accounts!$B$2:$B$9,MATCH(D1195,Accounts!$A$2:$A$9,0))</f>
        <v>Salaries &amp; Wages</v>
      </c>
      <c r="F1195" t="str">
        <f>INDEX(Accounts!$C$2:$C$9,MATCH(D1195,Accounts!$A$2:$A$9,0))</f>
        <v>Operating Expense</v>
      </c>
      <c r="G1195" t="s">
        <v>47</v>
      </c>
      <c r="H1195" t="s">
        <v>44</v>
      </c>
      <c r="I1195">
        <v>24936</v>
      </c>
    </row>
    <row r="1196" spans="1:9" x14ac:dyDescent="0.3">
      <c r="A1196" t="s">
        <v>1572</v>
      </c>
      <c r="B1196" t="s">
        <v>1568</v>
      </c>
      <c r="C1196">
        <f t="shared" si="18"/>
        <v>45962</v>
      </c>
      <c r="D1196">
        <v>6000</v>
      </c>
      <c r="E1196" t="str">
        <f>INDEX(Accounts!$B$2:$B$9,MATCH(D1196,Accounts!$A$2:$A$9,0))</f>
        <v>Salaries &amp; Wages</v>
      </c>
      <c r="F1196" t="str">
        <f>INDEX(Accounts!$C$2:$C$9,MATCH(D1196,Accounts!$A$2:$A$9,0))</f>
        <v>Operating Expense</v>
      </c>
      <c r="G1196" t="s">
        <v>41</v>
      </c>
      <c r="H1196" t="s">
        <v>46</v>
      </c>
      <c r="I1196">
        <v>6349</v>
      </c>
    </row>
    <row r="1197" spans="1:9" x14ac:dyDescent="0.3">
      <c r="A1197" t="s">
        <v>1573</v>
      </c>
      <c r="B1197" t="s">
        <v>1568</v>
      </c>
      <c r="C1197">
        <f t="shared" si="18"/>
        <v>45962</v>
      </c>
      <c r="D1197">
        <v>6000</v>
      </c>
      <c r="E1197" t="str">
        <f>INDEX(Accounts!$B$2:$B$9,MATCH(D1197,Accounts!$A$2:$A$9,0))</f>
        <v>Salaries &amp; Wages</v>
      </c>
      <c r="F1197" t="str">
        <f>INDEX(Accounts!$C$2:$C$9,MATCH(D1197,Accounts!$A$2:$A$9,0))</f>
        <v>Operating Expense</v>
      </c>
      <c r="G1197" t="s">
        <v>43</v>
      </c>
      <c r="H1197" t="s">
        <v>42</v>
      </c>
      <c r="I1197">
        <v>19153</v>
      </c>
    </row>
    <row r="1198" spans="1:9" x14ac:dyDescent="0.3">
      <c r="A1198" t="s">
        <v>1574</v>
      </c>
      <c r="B1198" t="s">
        <v>1568</v>
      </c>
      <c r="C1198">
        <f t="shared" si="18"/>
        <v>45962</v>
      </c>
      <c r="D1198">
        <v>4000</v>
      </c>
      <c r="E1198" t="str">
        <f>INDEX(Accounts!$B$2:$B$9,MATCH(D1198,Accounts!$A$2:$A$9,0))</f>
        <v>Product Sales</v>
      </c>
      <c r="F1198" t="str">
        <f>INDEX(Accounts!$C$2:$C$9,MATCH(D1198,Accounts!$A$2:$A$9,0))</f>
        <v>Revenue</v>
      </c>
      <c r="G1198" t="s">
        <v>43</v>
      </c>
      <c r="H1198" t="s">
        <v>44</v>
      </c>
      <c r="I1198">
        <v>128630</v>
      </c>
    </row>
    <row r="1199" spans="1:9" x14ac:dyDescent="0.3">
      <c r="A1199" t="s">
        <v>1575</v>
      </c>
      <c r="B1199" t="s">
        <v>1576</v>
      </c>
      <c r="C1199">
        <f t="shared" si="18"/>
        <v>45962</v>
      </c>
      <c r="D1199">
        <v>6300</v>
      </c>
      <c r="E1199" t="str">
        <f>INDEX(Accounts!$B$2:$B$9,MATCH(D1199,Accounts!$A$2:$A$9,0))</f>
        <v>Logistics Expense</v>
      </c>
      <c r="F1199" t="str">
        <f>INDEX(Accounts!$C$2:$C$9,MATCH(D1199,Accounts!$A$2:$A$9,0))</f>
        <v>Operating Expense</v>
      </c>
      <c r="G1199" t="s">
        <v>43</v>
      </c>
      <c r="H1199" t="s">
        <v>46</v>
      </c>
      <c r="I1199">
        <v>10865</v>
      </c>
    </row>
    <row r="1200" spans="1:9" x14ac:dyDescent="0.3">
      <c r="A1200" t="s">
        <v>1577</v>
      </c>
      <c r="B1200" t="s">
        <v>1576</v>
      </c>
      <c r="C1200">
        <f t="shared" si="18"/>
        <v>45962</v>
      </c>
      <c r="D1200">
        <v>5000</v>
      </c>
      <c r="E1200" t="str">
        <f>INDEX(Accounts!$B$2:$B$9,MATCH(D1200,Accounts!$A$2:$A$9,0))</f>
        <v>Cost of Goods Sold</v>
      </c>
      <c r="F1200" t="str">
        <f>INDEX(Accounts!$C$2:$C$9,MATCH(D1200,Accounts!$A$2:$A$9,0))</f>
        <v>COGS</v>
      </c>
      <c r="G1200" t="s">
        <v>43</v>
      </c>
      <c r="H1200" t="s">
        <v>46</v>
      </c>
      <c r="I1200">
        <v>59866</v>
      </c>
    </row>
    <row r="1201" spans="1:9" x14ac:dyDescent="0.3">
      <c r="A1201" t="s">
        <v>1578</v>
      </c>
      <c r="B1201" t="s">
        <v>1576</v>
      </c>
      <c r="C1201">
        <f t="shared" si="18"/>
        <v>45962</v>
      </c>
      <c r="D1201">
        <v>6100</v>
      </c>
      <c r="E1201" t="str">
        <f>INDEX(Accounts!$B$2:$B$9,MATCH(D1201,Accounts!$A$2:$A$9,0))</f>
        <v>Marketing Expense</v>
      </c>
      <c r="F1201" t="str">
        <f>INDEX(Accounts!$C$2:$C$9,MATCH(D1201,Accounts!$A$2:$A$9,0))</f>
        <v>Operating Expense</v>
      </c>
      <c r="G1201" t="s">
        <v>45</v>
      </c>
      <c r="H1201" t="s">
        <v>42</v>
      </c>
      <c r="I1201">
        <v>8084</v>
      </c>
    </row>
    <row r="1202" spans="1:9" x14ac:dyDescent="0.3">
      <c r="A1202" t="s">
        <v>1579</v>
      </c>
      <c r="B1202" t="s">
        <v>1576</v>
      </c>
      <c r="C1202">
        <f t="shared" si="18"/>
        <v>45962</v>
      </c>
      <c r="D1202">
        <v>6300</v>
      </c>
      <c r="E1202" t="str">
        <f>INDEX(Accounts!$B$2:$B$9,MATCH(D1202,Accounts!$A$2:$A$9,0))</f>
        <v>Logistics Expense</v>
      </c>
      <c r="F1202" t="str">
        <f>INDEX(Accounts!$C$2:$C$9,MATCH(D1202,Accounts!$A$2:$A$9,0))</f>
        <v>Operating Expense</v>
      </c>
      <c r="G1202" t="s">
        <v>45</v>
      </c>
      <c r="H1202" t="s">
        <v>42</v>
      </c>
      <c r="I1202">
        <v>12792</v>
      </c>
    </row>
    <row r="1203" spans="1:9" x14ac:dyDescent="0.3">
      <c r="A1203" t="s">
        <v>1580</v>
      </c>
      <c r="B1203" t="s">
        <v>1576</v>
      </c>
      <c r="C1203">
        <f t="shared" si="18"/>
        <v>45962</v>
      </c>
      <c r="D1203">
        <v>4000</v>
      </c>
      <c r="E1203" t="str">
        <f>INDEX(Accounts!$B$2:$B$9,MATCH(D1203,Accounts!$A$2:$A$9,0))</f>
        <v>Product Sales</v>
      </c>
      <c r="F1203" t="str">
        <f>INDEX(Accounts!$C$2:$C$9,MATCH(D1203,Accounts!$A$2:$A$9,0))</f>
        <v>Revenue</v>
      </c>
      <c r="G1203" t="s">
        <v>43</v>
      </c>
      <c r="H1203" t="s">
        <v>44</v>
      </c>
      <c r="I1203">
        <v>66465</v>
      </c>
    </row>
    <row r="1204" spans="1:9" x14ac:dyDescent="0.3">
      <c r="A1204" t="s">
        <v>1581</v>
      </c>
      <c r="B1204" t="s">
        <v>1582</v>
      </c>
      <c r="C1204">
        <f t="shared" si="18"/>
        <v>45962</v>
      </c>
      <c r="D1204">
        <v>6300</v>
      </c>
      <c r="E1204" t="str">
        <f>INDEX(Accounts!$B$2:$B$9,MATCH(D1204,Accounts!$A$2:$A$9,0))</f>
        <v>Logistics Expense</v>
      </c>
      <c r="F1204" t="str">
        <f>INDEX(Accounts!$C$2:$C$9,MATCH(D1204,Accounts!$A$2:$A$9,0))</f>
        <v>Operating Expense</v>
      </c>
      <c r="G1204" t="s">
        <v>45</v>
      </c>
      <c r="H1204" t="s">
        <v>42</v>
      </c>
      <c r="I1204">
        <v>11252</v>
      </c>
    </row>
    <row r="1205" spans="1:9" x14ac:dyDescent="0.3">
      <c r="A1205" t="s">
        <v>1583</v>
      </c>
      <c r="B1205" t="s">
        <v>1584</v>
      </c>
      <c r="C1205">
        <f t="shared" si="18"/>
        <v>45962</v>
      </c>
      <c r="D1205">
        <v>6300</v>
      </c>
      <c r="E1205" t="str">
        <f>INDEX(Accounts!$B$2:$B$9,MATCH(D1205,Accounts!$A$2:$A$9,0))</f>
        <v>Logistics Expense</v>
      </c>
      <c r="F1205" t="str">
        <f>INDEX(Accounts!$C$2:$C$9,MATCH(D1205,Accounts!$A$2:$A$9,0))</f>
        <v>Operating Expense</v>
      </c>
      <c r="G1205" t="s">
        <v>45</v>
      </c>
      <c r="H1205" t="s">
        <v>46</v>
      </c>
      <c r="I1205">
        <v>8877</v>
      </c>
    </row>
    <row r="1206" spans="1:9" x14ac:dyDescent="0.3">
      <c r="A1206" t="s">
        <v>1585</v>
      </c>
      <c r="B1206" t="s">
        <v>1584</v>
      </c>
      <c r="C1206">
        <f t="shared" si="18"/>
        <v>45962</v>
      </c>
      <c r="D1206">
        <v>6000</v>
      </c>
      <c r="E1206" t="str">
        <f>INDEX(Accounts!$B$2:$B$9,MATCH(D1206,Accounts!$A$2:$A$9,0))</f>
        <v>Salaries &amp; Wages</v>
      </c>
      <c r="F1206" t="str">
        <f>INDEX(Accounts!$C$2:$C$9,MATCH(D1206,Accounts!$A$2:$A$9,0))</f>
        <v>Operating Expense</v>
      </c>
      <c r="G1206" t="s">
        <v>41</v>
      </c>
      <c r="H1206" t="s">
        <v>44</v>
      </c>
      <c r="I1206">
        <v>9427</v>
      </c>
    </row>
    <row r="1207" spans="1:9" x14ac:dyDescent="0.3">
      <c r="A1207" t="s">
        <v>1586</v>
      </c>
      <c r="B1207" t="s">
        <v>1584</v>
      </c>
      <c r="C1207">
        <f t="shared" si="18"/>
        <v>45962</v>
      </c>
      <c r="D1207">
        <v>4000</v>
      </c>
      <c r="E1207" t="str">
        <f>INDEX(Accounts!$B$2:$B$9,MATCH(D1207,Accounts!$A$2:$A$9,0))</f>
        <v>Product Sales</v>
      </c>
      <c r="F1207" t="str">
        <f>INDEX(Accounts!$C$2:$C$9,MATCH(D1207,Accounts!$A$2:$A$9,0))</f>
        <v>Revenue</v>
      </c>
      <c r="G1207" t="s">
        <v>41</v>
      </c>
      <c r="H1207" t="s">
        <v>42</v>
      </c>
      <c r="I1207">
        <v>50887</v>
      </c>
    </row>
    <row r="1208" spans="1:9" x14ac:dyDescent="0.3">
      <c r="A1208" t="s">
        <v>1587</v>
      </c>
      <c r="B1208" t="s">
        <v>1588</v>
      </c>
      <c r="C1208">
        <f t="shared" si="18"/>
        <v>45962</v>
      </c>
      <c r="D1208">
        <v>4000</v>
      </c>
      <c r="E1208" t="str">
        <f>INDEX(Accounts!$B$2:$B$9,MATCH(D1208,Accounts!$A$2:$A$9,0))</f>
        <v>Product Sales</v>
      </c>
      <c r="F1208" t="str">
        <f>INDEX(Accounts!$C$2:$C$9,MATCH(D1208,Accounts!$A$2:$A$9,0))</f>
        <v>Revenue</v>
      </c>
      <c r="G1208" t="s">
        <v>45</v>
      </c>
      <c r="H1208" t="s">
        <v>42</v>
      </c>
      <c r="I1208">
        <v>86857</v>
      </c>
    </row>
    <row r="1209" spans="1:9" x14ac:dyDescent="0.3">
      <c r="A1209" t="s">
        <v>1589</v>
      </c>
      <c r="B1209" t="s">
        <v>1588</v>
      </c>
      <c r="C1209">
        <f t="shared" si="18"/>
        <v>45962</v>
      </c>
      <c r="D1209">
        <v>6200</v>
      </c>
      <c r="E1209" t="str">
        <f>INDEX(Accounts!$B$2:$B$9,MATCH(D1209,Accounts!$A$2:$A$9,0))</f>
        <v>Rent &amp; Utilities</v>
      </c>
      <c r="F1209" t="str">
        <f>INDEX(Accounts!$C$2:$C$9,MATCH(D1209,Accounts!$A$2:$A$9,0))</f>
        <v>Operating Expense</v>
      </c>
      <c r="G1209" t="s">
        <v>43</v>
      </c>
      <c r="H1209" t="s">
        <v>42</v>
      </c>
      <c r="I1209">
        <v>6714</v>
      </c>
    </row>
    <row r="1210" spans="1:9" x14ac:dyDescent="0.3">
      <c r="A1210" t="s">
        <v>1590</v>
      </c>
      <c r="B1210" t="s">
        <v>1591</v>
      </c>
      <c r="C1210">
        <f t="shared" si="18"/>
        <v>45962</v>
      </c>
      <c r="D1210">
        <v>6400</v>
      </c>
      <c r="E1210" t="str">
        <f>INDEX(Accounts!$B$2:$B$9,MATCH(D1210,Accounts!$A$2:$A$9,0))</f>
        <v>Software &amp; Admin</v>
      </c>
      <c r="F1210" t="str">
        <f>INDEX(Accounts!$C$2:$C$9,MATCH(D1210,Accounts!$A$2:$A$9,0))</f>
        <v>Operating Expense</v>
      </c>
      <c r="G1210" t="s">
        <v>45</v>
      </c>
      <c r="H1210" t="s">
        <v>42</v>
      </c>
      <c r="I1210">
        <v>1979</v>
      </c>
    </row>
    <row r="1211" spans="1:9" x14ac:dyDescent="0.3">
      <c r="A1211" t="s">
        <v>1592</v>
      </c>
      <c r="B1211" t="s">
        <v>1591</v>
      </c>
      <c r="C1211">
        <f t="shared" si="18"/>
        <v>45962</v>
      </c>
      <c r="D1211">
        <v>6000</v>
      </c>
      <c r="E1211" t="str">
        <f>INDEX(Accounts!$B$2:$B$9,MATCH(D1211,Accounts!$A$2:$A$9,0))</f>
        <v>Salaries &amp; Wages</v>
      </c>
      <c r="F1211" t="str">
        <f>INDEX(Accounts!$C$2:$C$9,MATCH(D1211,Accounts!$A$2:$A$9,0))</f>
        <v>Operating Expense</v>
      </c>
      <c r="G1211" t="s">
        <v>43</v>
      </c>
      <c r="H1211" t="s">
        <v>46</v>
      </c>
      <c r="I1211">
        <v>10069</v>
      </c>
    </row>
    <row r="1212" spans="1:9" x14ac:dyDescent="0.3">
      <c r="A1212" t="s">
        <v>1593</v>
      </c>
      <c r="B1212" t="s">
        <v>1594</v>
      </c>
      <c r="C1212">
        <f t="shared" si="18"/>
        <v>45992</v>
      </c>
      <c r="D1212">
        <v>5000</v>
      </c>
      <c r="E1212" t="str">
        <f>INDEX(Accounts!$B$2:$B$9,MATCH(D1212,Accounts!$A$2:$A$9,0))</f>
        <v>Cost of Goods Sold</v>
      </c>
      <c r="F1212" t="str">
        <f>INDEX(Accounts!$C$2:$C$9,MATCH(D1212,Accounts!$A$2:$A$9,0))</f>
        <v>COGS</v>
      </c>
      <c r="G1212" t="s">
        <v>47</v>
      </c>
      <c r="H1212" t="s">
        <v>44</v>
      </c>
      <c r="I1212">
        <v>37495</v>
      </c>
    </row>
    <row r="1213" spans="1:9" x14ac:dyDescent="0.3">
      <c r="A1213" t="s">
        <v>1595</v>
      </c>
      <c r="B1213" t="s">
        <v>1594</v>
      </c>
      <c r="C1213">
        <f t="shared" si="18"/>
        <v>45992</v>
      </c>
      <c r="D1213">
        <v>5000</v>
      </c>
      <c r="E1213" t="str">
        <f>INDEX(Accounts!$B$2:$B$9,MATCH(D1213,Accounts!$A$2:$A$9,0))</f>
        <v>Cost of Goods Sold</v>
      </c>
      <c r="F1213" t="str">
        <f>INDEX(Accounts!$C$2:$C$9,MATCH(D1213,Accounts!$A$2:$A$9,0))</f>
        <v>COGS</v>
      </c>
      <c r="G1213" t="s">
        <v>48</v>
      </c>
      <c r="H1213" t="s">
        <v>46</v>
      </c>
      <c r="I1213">
        <v>10849</v>
      </c>
    </row>
    <row r="1214" spans="1:9" x14ac:dyDescent="0.3">
      <c r="A1214" t="s">
        <v>1596</v>
      </c>
      <c r="B1214" t="s">
        <v>1594</v>
      </c>
      <c r="C1214">
        <f t="shared" si="18"/>
        <v>45992</v>
      </c>
      <c r="D1214">
        <v>4100</v>
      </c>
      <c r="E1214" t="str">
        <f>INDEX(Accounts!$B$2:$B$9,MATCH(D1214,Accounts!$A$2:$A$9,0))</f>
        <v>Sales Returns &amp; Discounts</v>
      </c>
      <c r="F1214" t="str">
        <f>INDEX(Accounts!$C$2:$C$9,MATCH(D1214,Accounts!$A$2:$A$9,0))</f>
        <v>Contra Revenue</v>
      </c>
      <c r="G1214" t="s">
        <v>41</v>
      </c>
      <c r="H1214" t="s">
        <v>46</v>
      </c>
      <c r="I1214">
        <v>2426</v>
      </c>
    </row>
    <row r="1215" spans="1:9" x14ac:dyDescent="0.3">
      <c r="A1215" t="s">
        <v>1546</v>
      </c>
      <c r="B1215" t="s">
        <v>1597</v>
      </c>
      <c r="C1215">
        <f t="shared" si="18"/>
        <v>45992</v>
      </c>
      <c r="D1215">
        <v>5000</v>
      </c>
      <c r="E1215" t="str">
        <f>INDEX(Accounts!$B$2:$B$9,MATCH(D1215,Accounts!$A$2:$A$9,0))</f>
        <v>Cost of Goods Sold</v>
      </c>
      <c r="F1215" t="str">
        <f>INDEX(Accounts!$C$2:$C$9,MATCH(D1215,Accounts!$A$2:$A$9,0))</f>
        <v>COGS</v>
      </c>
      <c r="G1215" t="s">
        <v>48</v>
      </c>
      <c r="H1215" t="s">
        <v>42</v>
      </c>
      <c r="I1215">
        <v>33470</v>
      </c>
    </row>
    <row r="1216" spans="1:9" x14ac:dyDescent="0.3">
      <c r="A1216" t="s">
        <v>1598</v>
      </c>
      <c r="B1216" t="s">
        <v>1597</v>
      </c>
      <c r="C1216">
        <f t="shared" si="18"/>
        <v>45992</v>
      </c>
      <c r="D1216">
        <v>4000</v>
      </c>
      <c r="E1216" t="str">
        <f>INDEX(Accounts!$B$2:$B$9,MATCH(D1216,Accounts!$A$2:$A$9,0))</f>
        <v>Product Sales</v>
      </c>
      <c r="F1216" t="str">
        <f>INDEX(Accounts!$C$2:$C$9,MATCH(D1216,Accounts!$A$2:$A$9,0))</f>
        <v>Revenue</v>
      </c>
      <c r="G1216" t="s">
        <v>43</v>
      </c>
      <c r="H1216" t="s">
        <v>44</v>
      </c>
      <c r="I1216">
        <v>153432</v>
      </c>
    </row>
    <row r="1217" spans="1:9" x14ac:dyDescent="0.3">
      <c r="A1217" t="s">
        <v>1599</v>
      </c>
      <c r="B1217" t="s">
        <v>1597</v>
      </c>
      <c r="C1217">
        <f t="shared" si="18"/>
        <v>45992</v>
      </c>
      <c r="D1217">
        <v>5000</v>
      </c>
      <c r="E1217" t="str">
        <f>INDEX(Accounts!$B$2:$B$9,MATCH(D1217,Accounts!$A$2:$A$9,0))</f>
        <v>Cost of Goods Sold</v>
      </c>
      <c r="F1217" t="str">
        <f>INDEX(Accounts!$C$2:$C$9,MATCH(D1217,Accounts!$A$2:$A$9,0))</f>
        <v>COGS</v>
      </c>
      <c r="G1217" t="s">
        <v>45</v>
      </c>
      <c r="H1217" t="s">
        <v>46</v>
      </c>
      <c r="I1217">
        <v>15591</v>
      </c>
    </row>
    <row r="1218" spans="1:9" x14ac:dyDescent="0.3">
      <c r="A1218" t="s">
        <v>1600</v>
      </c>
      <c r="B1218" t="s">
        <v>1601</v>
      </c>
      <c r="C1218">
        <f t="shared" ref="C1218:C1281" si="19">DATE(YEAR(B1218),MONTH(B1218),1)</f>
        <v>45992</v>
      </c>
      <c r="D1218">
        <v>6100</v>
      </c>
      <c r="E1218" t="str">
        <f>INDEX(Accounts!$B$2:$B$9,MATCH(D1218,Accounts!$A$2:$A$9,0))</f>
        <v>Marketing Expense</v>
      </c>
      <c r="F1218" t="str">
        <f>INDEX(Accounts!$C$2:$C$9,MATCH(D1218,Accounts!$A$2:$A$9,0))</f>
        <v>Operating Expense</v>
      </c>
      <c r="G1218" t="s">
        <v>41</v>
      </c>
      <c r="H1218" t="s">
        <v>46</v>
      </c>
      <c r="I1218">
        <v>17365</v>
      </c>
    </row>
    <row r="1219" spans="1:9" x14ac:dyDescent="0.3">
      <c r="A1219" t="s">
        <v>1602</v>
      </c>
      <c r="B1219" t="s">
        <v>1601</v>
      </c>
      <c r="C1219">
        <f t="shared" si="19"/>
        <v>45992</v>
      </c>
      <c r="D1219">
        <v>4000</v>
      </c>
      <c r="E1219" t="str">
        <f>INDEX(Accounts!$B$2:$B$9,MATCH(D1219,Accounts!$A$2:$A$9,0))</f>
        <v>Product Sales</v>
      </c>
      <c r="F1219" t="str">
        <f>INDEX(Accounts!$C$2:$C$9,MATCH(D1219,Accounts!$A$2:$A$9,0))</f>
        <v>Revenue</v>
      </c>
      <c r="G1219" t="s">
        <v>43</v>
      </c>
      <c r="H1219" t="s">
        <v>44</v>
      </c>
      <c r="I1219">
        <v>47362</v>
      </c>
    </row>
    <row r="1220" spans="1:9" x14ac:dyDescent="0.3">
      <c r="A1220" t="s">
        <v>1603</v>
      </c>
      <c r="B1220" t="s">
        <v>1601</v>
      </c>
      <c r="C1220">
        <f t="shared" si="19"/>
        <v>45992</v>
      </c>
      <c r="D1220">
        <v>6000</v>
      </c>
      <c r="E1220" t="str">
        <f>INDEX(Accounts!$B$2:$B$9,MATCH(D1220,Accounts!$A$2:$A$9,0))</f>
        <v>Salaries &amp; Wages</v>
      </c>
      <c r="F1220" t="str">
        <f>INDEX(Accounts!$C$2:$C$9,MATCH(D1220,Accounts!$A$2:$A$9,0))</f>
        <v>Operating Expense</v>
      </c>
      <c r="G1220" t="s">
        <v>41</v>
      </c>
      <c r="H1220" t="s">
        <v>46</v>
      </c>
      <c r="I1220">
        <v>14113</v>
      </c>
    </row>
    <row r="1221" spans="1:9" x14ac:dyDescent="0.3">
      <c r="A1221" t="s">
        <v>1604</v>
      </c>
      <c r="B1221" t="s">
        <v>1601</v>
      </c>
      <c r="C1221">
        <f t="shared" si="19"/>
        <v>45992</v>
      </c>
      <c r="D1221">
        <v>4100</v>
      </c>
      <c r="E1221" t="str">
        <f>INDEX(Accounts!$B$2:$B$9,MATCH(D1221,Accounts!$A$2:$A$9,0))</f>
        <v>Sales Returns &amp; Discounts</v>
      </c>
      <c r="F1221" t="str">
        <f>INDEX(Accounts!$C$2:$C$9,MATCH(D1221,Accounts!$A$2:$A$9,0))</f>
        <v>Contra Revenue</v>
      </c>
      <c r="G1221" t="s">
        <v>41</v>
      </c>
      <c r="H1221" t="s">
        <v>46</v>
      </c>
      <c r="I1221">
        <v>5496</v>
      </c>
    </row>
    <row r="1222" spans="1:9" x14ac:dyDescent="0.3">
      <c r="A1222" t="s">
        <v>1605</v>
      </c>
      <c r="B1222" t="s">
        <v>1601</v>
      </c>
      <c r="C1222">
        <f t="shared" si="19"/>
        <v>45992</v>
      </c>
      <c r="D1222">
        <v>5000</v>
      </c>
      <c r="E1222" t="str">
        <f>INDEX(Accounts!$B$2:$B$9,MATCH(D1222,Accounts!$A$2:$A$9,0))</f>
        <v>Cost of Goods Sold</v>
      </c>
      <c r="F1222" t="str">
        <f>INDEX(Accounts!$C$2:$C$9,MATCH(D1222,Accounts!$A$2:$A$9,0))</f>
        <v>COGS</v>
      </c>
      <c r="G1222" t="s">
        <v>45</v>
      </c>
      <c r="H1222" t="s">
        <v>46</v>
      </c>
      <c r="I1222">
        <v>26821</v>
      </c>
    </row>
    <row r="1223" spans="1:9" x14ac:dyDescent="0.3">
      <c r="A1223" t="s">
        <v>1606</v>
      </c>
      <c r="B1223" t="s">
        <v>1607</v>
      </c>
      <c r="C1223">
        <f t="shared" si="19"/>
        <v>45992</v>
      </c>
      <c r="D1223">
        <v>5000</v>
      </c>
      <c r="E1223" t="str">
        <f>INDEX(Accounts!$B$2:$B$9,MATCH(D1223,Accounts!$A$2:$A$9,0))</f>
        <v>Cost of Goods Sold</v>
      </c>
      <c r="F1223" t="str">
        <f>INDEX(Accounts!$C$2:$C$9,MATCH(D1223,Accounts!$A$2:$A$9,0))</f>
        <v>COGS</v>
      </c>
      <c r="G1223" t="s">
        <v>47</v>
      </c>
      <c r="H1223" t="s">
        <v>42</v>
      </c>
      <c r="I1223">
        <v>65526</v>
      </c>
    </row>
    <row r="1224" spans="1:9" x14ac:dyDescent="0.3">
      <c r="A1224" t="s">
        <v>1608</v>
      </c>
      <c r="B1224" t="s">
        <v>1607</v>
      </c>
      <c r="C1224">
        <f t="shared" si="19"/>
        <v>45992</v>
      </c>
      <c r="D1224">
        <v>4000</v>
      </c>
      <c r="E1224" t="str">
        <f>INDEX(Accounts!$B$2:$B$9,MATCH(D1224,Accounts!$A$2:$A$9,0))</f>
        <v>Product Sales</v>
      </c>
      <c r="F1224" t="str">
        <f>INDEX(Accounts!$C$2:$C$9,MATCH(D1224,Accounts!$A$2:$A$9,0))</f>
        <v>Revenue</v>
      </c>
      <c r="G1224" t="s">
        <v>45</v>
      </c>
      <c r="H1224" t="s">
        <v>42</v>
      </c>
      <c r="I1224">
        <v>79350</v>
      </c>
    </row>
    <row r="1225" spans="1:9" x14ac:dyDescent="0.3">
      <c r="A1225" t="s">
        <v>1609</v>
      </c>
      <c r="B1225" t="s">
        <v>1610</v>
      </c>
      <c r="C1225">
        <f t="shared" si="19"/>
        <v>45992</v>
      </c>
      <c r="D1225">
        <v>5000</v>
      </c>
      <c r="E1225" t="str">
        <f>INDEX(Accounts!$B$2:$B$9,MATCH(D1225,Accounts!$A$2:$A$9,0))</f>
        <v>Cost of Goods Sold</v>
      </c>
      <c r="F1225" t="str">
        <f>INDEX(Accounts!$C$2:$C$9,MATCH(D1225,Accounts!$A$2:$A$9,0))</f>
        <v>COGS</v>
      </c>
      <c r="G1225" t="s">
        <v>45</v>
      </c>
      <c r="H1225" t="s">
        <v>46</v>
      </c>
      <c r="I1225">
        <v>66715</v>
      </c>
    </row>
    <row r="1226" spans="1:9" x14ac:dyDescent="0.3">
      <c r="A1226" t="s">
        <v>1611</v>
      </c>
      <c r="B1226" t="s">
        <v>1610</v>
      </c>
      <c r="C1226">
        <f t="shared" si="19"/>
        <v>45992</v>
      </c>
      <c r="D1226">
        <v>4000</v>
      </c>
      <c r="E1226" t="str">
        <f>INDEX(Accounts!$B$2:$B$9,MATCH(D1226,Accounts!$A$2:$A$9,0))</f>
        <v>Product Sales</v>
      </c>
      <c r="F1226" t="str">
        <f>INDEX(Accounts!$C$2:$C$9,MATCH(D1226,Accounts!$A$2:$A$9,0))</f>
        <v>Revenue</v>
      </c>
      <c r="G1226" t="s">
        <v>48</v>
      </c>
      <c r="H1226" t="s">
        <v>46</v>
      </c>
      <c r="I1226">
        <v>162265</v>
      </c>
    </row>
    <row r="1227" spans="1:9" x14ac:dyDescent="0.3">
      <c r="A1227" t="s">
        <v>1612</v>
      </c>
      <c r="B1227" t="s">
        <v>1613</v>
      </c>
      <c r="C1227">
        <f t="shared" si="19"/>
        <v>45992</v>
      </c>
      <c r="D1227">
        <v>4000</v>
      </c>
      <c r="E1227" t="str">
        <f>INDEX(Accounts!$B$2:$B$9,MATCH(D1227,Accounts!$A$2:$A$9,0))</f>
        <v>Product Sales</v>
      </c>
      <c r="F1227" t="str">
        <f>INDEX(Accounts!$C$2:$C$9,MATCH(D1227,Accounts!$A$2:$A$9,0))</f>
        <v>Revenue</v>
      </c>
      <c r="G1227" t="s">
        <v>48</v>
      </c>
      <c r="H1227" t="s">
        <v>46</v>
      </c>
      <c r="I1227">
        <v>30633</v>
      </c>
    </row>
    <row r="1228" spans="1:9" x14ac:dyDescent="0.3">
      <c r="A1228" t="s">
        <v>1614</v>
      </c>
      <c r="B1228" t="s">
        <v>1613</v>
      </c>
      <c r="C1228">
        <f t="shared" si="19"/>
        <v>45992</v>
      </c>
      <c r="D1228">
        <v>4100</v>
      </c>
      <c r="E1228" t="str">
        <f>INDEX(Accounts!$B$2:$B$9,MATCH(D1228,Accounts!$A$2:$A$9,0))</f>
        <v>Sales Returns &amp; Discounts</v>
      </c>
      <c r="F1228" t="str">
        <f>INDEX(Accounts!$C$2:$C$9,MATCH(D1228,Accounts!$A$2:$A$9,0))</f>
        <v>Contra Revenue</v>
      </c>
      <c r="G1228" t="s">
        <v>47</v>
      </c>
      <c r="H1228" t="s">
        <v>46</v>
      </c>
      <c r="I1228">
        <v>1483</v>
      </c>
    </row>
    <row r="1229" spans="1:9" x14ac:dyDescent="0.3">
      <c r="A1229" t="s">
        <v>1615</v>
      </c>
      <c r="B1229" t="s">
        <v>1613</v>
      </c>
      <c r="C1229">
        <f t="shared" si="19"/>
        <v>45992</v>
      </c>
      <c r="D1229">
        <v>4000</v>
      </c>
      <c r="E1229" t="str">
        <f>INDEX(Accounts!$B$2:$B$9,MATCH(D1229,Accounts!$A$2:$A$9,0))</f>
        <v>Product Sales</v>
      </c>
      <c r="F1229" t="str">
        <f>INDEX(Accounts!$C$2:$C$9,MATCH(D1229,Accounts!$A$2:$A$9,0))</f>
        <v>Revenue</v>
      </c>
      <c r="G1229" t="s">
        <v>48</v>
      </c>
      <c r="H1229" t="s">
        <v>46</v>
      </c>
      <c r="I1229">
        <v>94956</v>
      </c>
    </row>
    <row r="1230" spans="1:9" x14ac:dyDescent="0.3">
      <c r="A1230" t="s">
        <v>1616</v>
      </c>
      <c r="B1230" t="s">
        <v>1613</v>
      </c>
      <c r="C1230">
        <f t="shared" si="19"/>
        <v>45992</v>
      </c>
      <c r="D1230">
        <v>6300</v>
      </c>
      <c r="E1230" t="str">
        <f>INDEX(Accounts!$B$2:$B$9,MATCH(D1230,Accounts!$A$2:$A$9,0))</f>
        <v>Logistics Expense</v>
      </c>
      <c r="F1230" t="str">
        <f>INDEX(Accounts!$C$2:$C$9,MATCH(D1230,Accounts!$A$2:$A$9,0))</f>
        <v>Operating Expense</v>
      </c>
      <c r="G1230" t="s">
        <v>43</v>
      </c>
      <c r="H1230" t="s">
        <v>42</v>
      </c>
      <c r="I1230">
        <v>4183</v>
      </c>
    </row>
    <row r="1231" spans="1:9" x14ac:dyDescent="0.3">
      <c r="A1231" t="s">
        <v>1617</v>
      </c>
      <c r="B1231" t="s">
        <v>1613</v>
      </c>
      <c r="C1231">
        <f t="shared" si="19"/>
        <v>45992</v>
      </c>
      <c r="D1231">
        <v>5000</v>
      </c>
      <c r="E1231" t="str">
        <f>INDEX(Accounts!$B$2:$B$9,MATCH(D1231,Accounts!$A$2:$A$9,0))</f>
        <v>Cost of Goods Sold</v>
      </c>
      <c r="F1231" t="str">
        <f>INDEX(Accounts!$C$2:$C$9,MATCH(D1231,Accounts!$A$2:$A$9,0))</f>
        <v>COGS</v>
      </c>
      <c r="G1231" t="s">
        <v>45</v>
      </c>
      <c r="H1231" t="s">
        <v>42</v>
      </c>
      <c r="I1231">
        <v>53216</v>
      </c>
    </row>
    <row r="1232" spans="1:9" x14ac:dyDescent="0.3">
      <c r="A1232" t="s">
        <v>1618</v>
      </c>
      <c r="B1232" t="s">
        <v>1613</v>
      </c>
      <c r="C1232">
        <f t="shared" si="19"/>
        <v>45992</v>
      </c>
      <c r="D1232">
        <v>4000</v>
      </c>
      <c r="E1232" t="str">
        <f>INDEX(Accounts!$B$2:$B$9,MATCH(D1232,Accounts!$A$2:$A$9,0))</f>
        <v>Product Sales</v>
      </c>
      <c r="F1232" t="str">
        <f>INDEX(Accounts!$C$2:$C$9,MATCH(D1232,Accounts!$A$2:$A$9,0))</f>
        <v>Revenue</v>
      </c>
      <c r="G1232" t="s">
        <v>45</v>
      </c>
      <c r="H1232" t="s">
        <v>42</v>
      </c>
      <c r="I1232">
        <v>63109</v>
      </c>
    </row>
    <row r="1233" spans="1:9" x14ac:dyDescent="0.3">
      <c r="A1233" t="s">
        <v>1619</v>
      </c>
      <c r="B1233" t="s">
        <v>1613</v>
      </c>
      <c r="C1233">
        <f t="shared" si="19"/>
        <v>45992</v>
      </c>
      <c r="D1233">
        <v>6000</v>
      </c>
      <c r="E1233" t="str">
        <f>INDEX(Accounts!$B$2:$B$9,MATCH(D1233,Accounts!$A$2:$A$9,0))</f>
        <v>Salaries &amp; Wages</v>
      </c>
      <c r="F1233" t="str">
        <f>INDEX(Accounts!$C$2:$C$9,MATCH(D1233,Accounts!$A$2:$A$9,0))</f>
        <v>Operating Expense</v>
      </c>
      <c r="G1233" t="s">
        <v>45</v>
      </c>
      <c r="H1233" t="s">
        <v>46</v>
      </c>
      <c r="I1233">
        <v>27932</v>
      </c>
    </row>
    <row r="1234" spans="1:9" x14ac:dyDescent="0.3">
      <c r="A1234" t="s">
        <v>1620</v>
      </c>
      <c r="B1234" t="s">
        <v>1621</v>
      </c>
      <c r="C1234">
        <f t="shared" si="19"/>
        <v>45992</v>
      </c>
      <c r="D1234">
        <v>6000</v>
      </c>
      <c r="E1234" t="str">
        <f>INDEX(Accounts!$B$2:$B$9,MATCH(D1234,Accounts!$A$2:$A$9,0))</f>
        <v>Salaries &amp; Wages</v>
      </c>
      <c r="F1234" t="str">
        <f>INDEX(Accounts!$C$2:$C$9,MATCH(D1234,Accounts!$A$2:$A$9,0))</f>
        <v>Operating Expense</v>
      </c>
      <c r="G1234" t="s">
        <v>45</v>
      </c>
      <c r="H1234" t="s">
        <v>46</v>
      </c>
      <c r="I1234">
        <v>20827</v>
      </c>
    </row>
    <row r="1235" spans="1:9" x14ac:dyDescent="0.3">
      <c r="A1235" t="s">
        <v>1622</v>
      </c>
      <c r="B1235" t="s">
        <v>1621</v>
      </c>
      <c r="C1235">
        <f t="shared" si="19"/>
        <v>45992</v>
      </c>
      <c r="D1235">
        <v>4000</v>
      </c>
      <c r="E1235" t="str">
        <f>INDEX(Accounts!$B$2:$B$9,MATCH(D1235,Accounts!$A$2:$A$9,0))</f>
        <v>Product Sales</v>
      </c>
      <c r="F1235" t="str">
        <f>INDEX(Accounts!$C$2:$C$9,MATCH(D1235,Accounts!$A$2:$A$9,0))</f>
        <v>Revenue</v>
      </c>
      <c r="G1235" t="s">
        <v>43</v>
      </c>
      <c r="H1235" t="s">
        <v>42</v>
      </c>
      <c r="I1235">
        <v>95741</v>
      </c>
    </row>
    <row r="1236" spans="1:9" x14ac:dyDescent="0.3">
      <c r="A1236" t="s">
        <v>1623</v>
      </c>
      <c r="B1236" t="s">
        <v>1621</v>
      </c>
      <c r="C1236">
        <f t="shared" si="19"/>
        <v>45992</v>
      </c>
      <c r="D1236">
        <v>4000</v>
      </c>
      <c r="E1236" t="str">
        <f>INDEX(Accounts!$B$2:$B$9,MATCH(D1236,Accounts!$A$2:$A$9,0))</f>
        <v>Product Sales</v>
      </c>
      <c r="F1236" t="str">
        <f>INDEX(Accounts!$C$2:$C$9,MATCH(D1236,Accounts!$A$2:$A$9,0))</f>
        <v>Revenue</v>
      </c>
      <c r="G1236" t="s">
        <v>48</v>
      </c>
      <c r="H1236" t="s">
        <v>44</v>
      </c>
      <c r="I1236">
        <v>153435</v>
      </c>
    </row>
    <row r="1237" spans="1:9" x14ac:dyDescent="0.3">
      <c r="A1237" t="s">
        <v>1624</v>
      </c>
      <c r="B1237" t="s">
        <v>1621</v>
      </c>
      <c r="C1237">
        <f t="shared" si="19"/>
        <v>45992</v>
      </c>
      <c r="D1237">
        <v>6000</v>
      </c>
      <c r="E1237" t="str">
        <f>INDEX(Accounts!$B$2:$B$9,MATCH(D1237,Accounts!$A$2:$A$9,0))</f>
        <v>Salaries &amp; Wages</v>
      </c>
      <c r="F1237" t="str">
        <f>INDEX(Accounts!$C$2:$C$9,MATCH(D1237,Accounts!$A$2:$A$9,0))</f>
        <v>Operating Expense</v>
      </c>
      <c r="G1237" t="s">
        <v>43</v>
      </c>
      <c r="H1237" t="s">
        <v>44</v>
      </c>
      <c r="I1237">
        <v>19479</v>
      </c>
    </row>
    <row r="1238" spans="1:9" x14ac:dyDescent="0.3">
      <c r="A1238" t="s">
        <v>1625</v>
      </c>
      <c r="B1238" t="s">
        <v>1621</v>
      </c>
      <c r="C1238">
        <f t="shared" si="19"/>
        <v>45992</v>
      </c>
      <c r="D1238">
        <v>6100</v>
      </c>
      <c r="E1238" t="str">
        <f>INDEX(Accounts!$B$2:$B$9,MATCH(D1238,Accounts!$A$2:$A$9,0))</f>
        <v>Marketing Expense</v>
      </c>
      <c r="F1238" t="str">
        <f>INDEX(Accounts!$C$2:$C$9,MATCH(D1238,Accounts!$A$2:$A$9,0))</f>
        <v>Operating Expense</v>
      </c>
      <c r="G1238" t="s">
        <v>41</v>
      </c>
      <c r="H1238" t="s">
        <v>42</v>
      </c>
      <c r="I1238">
        <v>7042</v>
      </c>
    </row>
    <row r="1239" spans="1:9" x14ac:dyDescent="0.3">
      <c r="A1239" t="s">
        <v>1626</v>
      </c>
      <c r="B1239" t="s">
        <v>1627</v>
      </c>
      <c r="C1239">
        <f t="shared" si="19"/>
        <v>45992</v>
      </c>
      <c r="D1239">
        <v>6400</v>
      </c>
      <c r="E1239" t="str">
        <f>INDEX(Accounts!$B$2:$B$9,MATCH(D1239,Accounts!$A$2:$A$9,0))</f>
        <v>Software &amp; Admin</v>
      </c>
      <c r="F1239" t="str">
        <f>INDEX(Accounts!$C$2:$C$9,MATCH(D1239,Accounts!$A$2:$A$9,0))</f>
        <v>Operating Expense</v>
      </c>
      <c r="G1239" t="s">
        <v>43</v>
      </c>
      <c r="H1239" t="s">
        <v>46</v>
      </c>
      <c r="I1239">
        <v>2631</v>
      </c>
    </row>
    <row r="1240" spans="1:9" x14ac:dyDescent="0.3">
      <c r="A1240" t="s">
        <v>1628</v>
      </c>
      <c r="B1240" t="s">
        <v>1627</v>
      </c>
      <c r="C1240">
        <f t="shared" si="19"/>
        <v>45992</v>
      </c>
      <c r="D1240">
        <v>5000</v>
      </c>
      <c r="E1240" t="str">
        <f>INDEX(Accounts!$B$2:$B$9,MATCH(D1240,Accounts!$A$2:$A$9,0))</f>
        <v>Cost of Goods Sold</v>
      </c>
      <c r="F1240" t="str">
        <f>INDEX(Accounts!$C$2:$C$9,MATCH(D1240,Accounts!$A$2:$A$9,0))</f>
        <v>COGS</v>
      </c>
      <c r="G1240" t="s">
        <v>43</v>
      </c>
      <c r="H1240" t="s">
        <v>46</v>
      </c>
      <c r="I1240">
        <v>10572</v>
      </c>
    </row>
    <row r="1241" spans="1:9" x14ac:dyDescent="0.3">
      <c r="A1241" t="s">
        <v>1629</v>
      </c>
      <c r="B1241" t="s">
        <v>1630</v>
      </c>
      <c r="C1241">
        <f t="shared" si="19"/>
        <v>45992</v>
      </c>
      <c r="D1241">
        <v>4000</v>
      </c>
      <c r="E1241" t="str">
        <f>INDEX(Accounts!$B$2:$B$9,MATCH(D1241,Accounts!$A$2:$A$9,0))</f>
        <v>Product Sales</v>
      </c>
      <c r="F1241" t="str">
        <f>INDEX(Accounts!$C$2:$C$9,MATCH(D1241,Accounts!$A$2:$A$9,0))</f>
        <v>Revenue</v>
      </c>
      <c r="G1241" t="s">
        <v>41</v>
      </c>
      <c r="H1241" t="s">
        <v>46</v>
      </c>
      <c r="I1241">
        <v>96114</v>
      </c>
    </row>
    <row r="1242" spans="1:9" x14ac:dyDescent="0.3">
      <c r="A1242" t="s">
        <v>1631</v>
      </c>
      <c r="B1242" t="s">
        <v>1630</v>
      </c>
      <c r="C1242">
        <f t="shared" si="19"/>
        <v>45992</v>
      </c>
      <c r="D1242">
        <v>6200</v>
      </c>
      <c r="E1242" t="str">
        <f>INDEX(Accounts!$B$2:$B$9,MATCH(D1242,Accounts!$A$2:$A$9,0))</f>
        <v>Rent &amp; Utilities</v>
      </c>
      <c r="F1242" t="str">
        <f>INDEX(Accounts!$C$2:$C$9,MATCH(D1242,Accounts!$A$2:$A$9,0))</f>
        <v>Operating Expense</v>
      </c>
      <c r="G1242" t="s">
        <v>43</v>
      </c>
      <c r="H1242" t="s">
        <v>44</v>
      </c>
      <c r="I1242">
        <v>13264</v>
      </c>
    </row>
    <row r="1243" spans="1:9" x14ac:dyDescent="0.3">
      <c r="A1243" t="s">
        <v>1632</v>
      </c>
      <c r="B1243" t="s">
        <v>1633</v>
      </c>
      <c r="C1243">
        <f t="shared" si="19"/>
        <v>45992</v>
      </c>
      <c r="D1243">
        <v>5000</v>
      </c>
      <c r="E1243" t="str">
        <f>INDEX(Accounts!$B$2:$B$9,MATCH(D1243,Accounts!$A$2:$A$9,0))</f>
        <v>Cost of Goods Sold</v>
      </c>
      <c r="F1243" t="str">
        <f>INDEX(Accounts!$C$2:$C$9,MATCH(D1243,Accounts!$A$2:$A$9,0))</f>
        <v>COGS</v>
      </c>
      <c r="G1243" t="s">
        <v>47</v>
      </c>
      <c r="H1243" t="s">
        <v>44</v>
      </c>
      <c r="I1243">
        <v>38234</v>
      </c>
    </row>
    <row r="1244" spans="1:9" x14ac:dyDescent="0.3">
      <c r="A1244" t="s">
        <v>1634</v>
      </c>
      <c r="B1244" t="s">
        <v>1633</v>
      </c>
      <c r="C1244">
        <f t="shared" si="19"/>
        <v>45992</v>
      </c>
      <c r="D1244">
        <v>4100</v>
      </c>
      <c r="E1244" t="str">
        <f>INDEX(Accounts!$B$2:$B$9,MATCH(D1244,Accounts!$A$2:$A$9,0))</f>
        <v>Sales Returns &amp; Discounts</v>
      </c>
      <c r="F1244" t="str">
        <f>INDEX(Accounts!$C$2:$C$9,MATCH(D1244,Accounts!$A$2:$A$9,0))</f>
        <v>Contra Revenue</v>
      </c>
      <c r="G1244" t="s">
        <v>45</v>
      </c>
      <c r="H1244" t="s">
        <v>44</v>
      </c>
      <c r="I1244">
        <v>5731</v>
      </c>
    </row>
    <row r="1245" spans="1:9" x14ac:dyDescent="0.3">
      <c r="A1245" t="s">
        <v>1635</v>
      </c>
      <c r="B1245" t="s">
        <v>1633</v>
      </c>
      <c r="C1245">
        <f t="shared" si="19"/>
        <v>45992</v>
      </c>
      <c r="D1245">
        <v>5000</v>
      </c>
      <c r="E1245" t="str">
        <f>INDEX(Accounts!$B$2:$B$9,MATCH(D1245,Accounts!$A$2:$A$9,0))</f>
        <v>Cost of Goods Sold</v>
      </c>
      <c r="F1245" t="str">
        <f>INDEX(Accounts!$C$2:$C$9,MATCH(D1245,Accounts!$A$2:$A$9,0))</f>
        <v>COGS</v>
      </c>
      <c r="G1245" t="s">
        <v>43</v>
      </c>
      <c r="H1245" t="s">
        <v>42</v>
      </c>
      <c r="I1245">
        <v>15460</v>
      </c>
    </row>
    <row r="1246" spans="1:9" x14ac:dyDescent="0.3">
      <c r="A1246" t="s">
        <v>1636</v>
      </c>
      <c r="B1246" t="s">
        <v>1633</v>
      </c>
      <c r="C1246">
        <f t="shared" si="19"/>
        <v>45992</v>
      </c>
      <c r="D1246">
        <v>4000</v>
      </c>
      <c r="E1246" t="str">
        <f>INDEX(Accounts!$B$2:$B$9,MATCH(D1246,Accounts!$A$2:$A$9,0))</f>
        <v>Product Sales</v>
      </c>
      <c r="F1246" t="str">
        <f>INDEX(Accounts!$C$2:$C$9,MATCH(D1246,Accounts!$A$2:$A$9,0))</f>
        <v>Revenue</v>
      </c>
      <c r="G1246" t="s">
        <v>43</v>
      </c>
      <c r="H1246" t="s">
        <v>42</v>
      </c>
      <c r="I1246">
        <v>77978</v>
      </c>
    </row>
    <row r="1247" spans="1:9" x14ac:dyDescent="0.3">
      <c r="A1247" t="s">
        <v>1637</v>
      </c>
      <c r="B1247" t="s">
        <v>1633</v>
      </c>
      <c r="C1247">
        <f t="shared" si="19"/>
        <v>45992</v>
      </c>
      <c r="D1247">
        <v>6100</v>
      </c>
      <c r="E1247" t="str">
        <f>INDEX(Accounts!$B$2:$B$9,MATCH(D1247,Accounts!$A$2:$A$9,0))</f>
        <v>Marketing Expense</v>
      </c>
      <c r="F1247" t="str">
        <f>INDEX(Accounts!$C$2:$C$9,MATCH(D1247,Accounts!$A$2:$A$9,0))</f>
        <v>Operating Expense</v>
      </c>
      <c r="G1247" t="s">
        <v>41</v>
      </c>
      <c r="H1247" t="s">
        <v>42</v>
      </c>
      <c r="I1247">
        <v>15469</v>
      </c>
    </row>
    <row r="1248" spans="1:9" x14ac:dyDescent="0.3">
      <c r="A1248" t="s">
        <v>1638</v>
      </c>
      <c r="B1248" t="s">
        <v>1639</v>
      </c>
      <c r="C1248">
        <f t="shared" si="19"/>
        <v>45992</v>
      </c>
      <c r="D1248">
        <v>4000</v>
      </c>
      <c r="E1248" t="str">
        <f>INDEX(Accounts!$B$2:$B$9,MATCH(D1248,Accounts!$A$2:$A$9,0))</f>
        <v>Product Sales</v>
      </c>
      <c r="F1248" t="str">
        <f>INDEX(Accounts!$C$2:$C$9,MATCH(D1248,Accounts!$A$2:$A$9,0))</f>
        <v>Revenue</v>
      </c>
      <c r="G1248" t="s">
        <v>43</v>
      </c>
      <c r="H1248" t="s">
        <v>46</v>
      </c>
      <c r="I1248">
        <v>56034</v>
      </c>
    </row>
    <row r="1249" spans="1:9" x14ac:dyDescent="0.3">
      <c r="A1249" t="s">
        <v>1640</v>
      </c>
      <c r="B1249" t="s">
        <v>1639</v>
      </c>
      <c r="C1249">
        <f t="shared" si="19"/>
        <v>45992</v>
      </c>
      <c r="D1249">
        <v>5000</v>
      </c>
      <c r="E1249" t="str">
        <f>INDEX(Accounts!$B$2:$B$9,MATCH(D1249,Accounts!$A$2:$A$9,0))</f>
        <v>Cost of Goods Sold</v>
      </c>
      <c r="F1249" t="str">
        <f>INDEX(Accounts!$C$2:$C$9,MATCH(D1249,Accounts!$A$2:$A$9,0))</f>
        <v>COGS</v>
      </c>
      <c r="G1249" t="s">
        <v>48</v>
      </c>
      <c r="H1249" t="s">
        <v>46</v>
      </c>
      <c r="I1249">
        <v>46915</v>
      </c>
    </row>
    <row r="1250" spans="1:9" x14ac:dyDescent="0.3">
      <c r="A1250" t="s">
        <v>1641</v>
      </c>
      <c r="B1250" t="s">
        <v>1639</v>
      </c>
      <c r="C1250">
        <f t="shared" si="19"/>
        <v>45992</v>
      </c>
      <c r="D1250">
        <v>6300</v>
      </c>
      <c r="E1250" t="str">
        <f>INDEX(Accounts!$B$2:$B$9,MATCH(D1250,Accounts!$A$2:$A$9,0))</f>
        <v>Logistics Expense</v>
      </c>
      <c r="F1250" t="str">
        <f>INDEX(Accounts!$C$2:$C$9,MATCH(D1250,Accounts!$A$2:$A$9,0))</f>
        <v>Operating Expense</v>
      </c>
      <c r="G1250" t="s">
        <v>41</v>
      </c>
      <c r="H1250" t="s">
        <v>44</v>
      </c>
      <c r="I1250">
        <v>4420</v>
      </c>
    </row>
    <row r="1251" spans="1:9" x14ac:dyDescent="0.3">
      <c r="A1251" t="s">
        <v>1642</v>
      </c>
      <c r="B1251" t="s">
        <v>1639</v>
      </c>
      <c r="C1251">
        <f t="shared" si="19"/>
        <v>45992</v>
      </c>
      <c r="D1251">
        <v>5000</v>
      </c>
      <c r="E1251" t="str">
        <f>INDEX(Accounts!$B$2:$B$9,MATCH(D1251,Accounts!$A$2:$A$9,0))</f>
        <v>Cost of Goods Sold</v>
      </c>
      <c r="F1251" t="str">
        <f>INDEX(Accounts!$C$2:$C$9,MATCH(D1251,Accounts!$A$2:$A$9,0))</f>
        <v>COGS</v>
      </c>
      <c r="G1251" t="s">
        <v>43</v>
      </c>
      <c r="H1251" t="s">
        <v>46</v>
      </c>
      <c r="I1251">
        <v>21700</v>
      </c>
    </row>
    <row r="1252" spans="1:9" x14ac:dyDescent="0.3">
      <c r="A1252" t="s">
        <v>1643</v>
      </c>
      <c r="B1252" t="s">
        <v>1639</v>
      </c>
      <c r="C1252">
        <f t="shared" si="19"/>
        <v>45992</v>
      </c>
      <c r="D1252">
        <v>5000</v>
      </c>
      <c r="E1252" t="str">
        <f>INDEX(Accounts!$B$2:$B$9,MATCH(D1252,Accounts!$A$2:$A$9,0))</f>
        <v>Cost of Goods Sold</v>
      </c>
      <c r="F1252" t="str">
        <f>INDEX(Accounts!$C$2:$C$9,MATCH(D1252,Accounts!$A$2:$A$9,0))</f>
        <v>COGS</v>
      </c>
      <c r="G1252" t="s">
        <v>47</v>
      </c>
      <c r="H1252" t="s">
        <v>46</v>
      </c>
      <c r="I1252">
        <v>11671</v>
      </c>
    </row>
    <row r="1253" spans="1:9" x14ac:dyDescent="0.3">
      <c r="A1253" t="s">
        <v>1644</v>
      </c>
      <c r="B1253" t="s">
        <v>1639</v>
      </c>
      <c r="C1253">
        <f t="shared" si="19"/>
        <v>45992</v>
      </c>
      <c r="D1253">
        <v>5000</v>
      </c>
      <c r="E1253" t="str">
        <f>INDEX(Accounts!$B$2:$B$9,MATCH(D1253,Accounts!$A$2:$A$9,0))</f>
        <v>Cost of Goods Sold</v>
      </c>
      <c r="F1253" t="str">
        <f>INDEX(Accounts!$C$2:$C$9,MATCH(D1253,Accounts!$A$2:$A$9,0))</f>
        <v>COGS</v>
      </c>
      <c r="G1253" t="s">
        <v>41</v>
      </c>
      <c r="H1253" t="s">
        <v>46</v>
      </c>
      <c r="I1253">
        <v>58212</v>
      </c>
    </row>
    <row r="1254" spans="1:9" x14ac:dyDescent="0.3">
      <c r="A1254" t="s">
        <v>1645</v>
      </c>
      <c r="B1254" t="s">
        <v>1646</v>
      </c>
      <c r="C1254">
        <f t="shared" si="19"/>
        <v>45992</v>
      </c>
      <c r="D1254">
        <v>6000</v>
      </c>
      <c r="E1254" t="str">
        <f>INDEX(Accounts!$B$2:$B$9,MATCH(D1254,Accounts!$A$2:$A$9,0))</f>
        <v>Salaries &amp; Wages</v>
      </c>
      <c r="F1254" t="str">
        <f>INDEX(Accounts!$C$2:$C$9,MATCH(D1254,Accounts!$A$2:$A$9,0))</f>
        <v>Operating Expense</v>
      </c>
      <c r="G1254" t="s">
        <v>41</v>
      </c>
      <c r="H1254" t="s">
        <v>46</v>
      </c>
      <c r="I1254">
        <v>14039</v>
      </c>
    </row>
    <row r="1255" spans="1:9" x14ac:dyDescent="0.3">
      <c r="A1255" t="s">
        <v>1647</v>
      </c>
      <c r="B1255" t="s">
        <v>1646</v>
      </c>
      <c r="C1255">
        <f t="shared" si="19"/>
        <v>45992</v>
      </c>
      <c r="D1255">
        <v>6300</v>
      </c>
      <c r="E1255" t="str">
        <f>INDEX(Accounts!$B$2:$B$9,MATCH(D1255,Accounts!$A$2:$A$9,0))</f>
        <v>Logistics Expense</v>
      </c>
      <c r="F1255" t="str">
        <f>INDEX(Accounts!$C$2:$C$9,MATCH(D1255,Accounts!$A$2:$A$9,0))</f>
        <v>Operating Expense</v>
      </c>
      <c r="G1255" t="s">
        <v>47</v>
      </c>
      <c r="H1255" t="s">
        <v>44</v>
      </c>
      <c r="I1255">
        <v>10518</v>
      </c>
    </row>
    <row r="1256" spans="1:9" x14ac:dyDescent="0.3">
      <c r="A1256" t="s">
        <v>1648</v>
      </c>
      <c r="B1256" t="s">
        <v>1646</v>
      </c>
      <c r="C1256">
        <f t="shared" si="19"/>
        <v>45992</v>
      </c>
      <c r="D1256">
        <v>6000</v>
      </c>
      <c r="E1256" t="str">
        <f>INDEX(Accounts!$B$2:$B$9,MATCH(D1256,Accounts!$A$2:$A$9,0))</f>
        <v>Salaries &amp; Wages</v>
      </c>
      <c r="F1256" t="str">
        <f>INDEX(Accounts!$C$2:$C$9,MATCH(D1256,Accounts!$A$2:$A$9,0))</f>
        <v>Operating Expense</v>
      </c>
      <c r="G1256" t="s">
        <v>45</v>
      </c>
      <c r="H1256" t="s">
        <v>42</v>
      </c>
      <c r="I1256">
        <v>25991</v>
      </c>
    </row>
    <row r="1257" spans="1:9" x14ac:dyDescent="0.3">
      <c r="A1257" t="s">
        <v>1649</v>
      </c>
      <c r="B1257" t="s">
        <v>1646</v>
      </c>
      <c r="C1257">
        <f t="shared" si="19"/>
        <v>45992</v>
      </c>
      <c r="D1257">
        <v>5000</v>
      </c>
      <c r="E1257" t="str">
        <f>INDEX(Accounts!$B$2:$B$9,MATCH(D1257,Accounts!$A$2:$A$9,0))</f>
        <v>Cost of Goods Sold</v>
      </c>
      <c r="F1257" t="str">
        <f>INDEX(Accounts!$C$2:$C$9,MATCH(D1257,Accounts!$A$2:$A$9,0))</f>
        <v>COGS</v>
      </c>
      <c r="G1257" t="s">
        <v>48</v>
      </c>
      <c r="H1257" t="s">
        <v>42</v>
      </c>
      <c r="I1257">
        <v>42412</v>
      </c>
    </row>
    <row r="1258" spans="1:9" x14ac:dyDescent="0.3">
      <c r="A1258" t="s">
        <v>1650</v>
      </c>
      <c r="B1258" t="s">
        <v>1651</v>
      </c>
      <c r="C1258">
        <f t="shared" si="19"/>
        <v>45992</v>
      </c>
      <c r="D1258">
        <v>6100</v>
      </c>
      <c r="E1258" t="str">
        <f>INDEX(Accounts!$B$2:$B$9,MATCH(D1258,Accounts!$A$2:$A$9,0))</f>
        <v>Marketing Expense</v>
      </c>
      <c r="F1258" t="str">
        <f>INDEX(Accounts!$C$2:$C$9,MATCH(D1258,Accounts!$A$2:$A$9,0))</f>
        <v>Operating Expense</v>
      </c>
      <c r="G1258" t="s">
        <v>41</v>
      </c>
      <c r="H1258" t="s">
        <v>46</v>
      </c>
      <c r="I1258">
        <v>7765</v>
      </c>
    </row>
    <row r="1259" spans="1:9" x14ac:dyDescent="0.3">
      <c r="A1259" t="s">
        <v>1652</v>
      </c>
      <c r="B1259" t="s">
        <v>1651</v>
      </c>
      <c r="C1259">
        <f t="shared" si="19"/>
        <v>45992</v>
      </c>
      <c r="D1259">
        <v>6100</v>
      </c>
      <c r="E1259" t="str">
        <f>INDEX(Accounts!$B$2:$B$9,MATCH(D1259,Accounts!$A$2:$A$9,0))</f>
        <v>Marketing Expense</v>
      </c>
      <c r="F1259" t="str">
        <f>INDEX(Accounts!$C$2:$C$9,MATCH(D1259,Accounts!$A$2:$A$9,0))</f>
        <v>Operating Expense</v>
      </c>
      <c r="G1259" t="s">
        <v>45</v>
      </c>
      <c r="H1259" t="s">
        <v>44</v>
      </c>
      <c r="I1259">
        <v>13799</v>
      </c>
    </row>
    <row r="1260" spans="1:9" x14ac:dyDescent="0.3">
      <c r="A1260" t="s">
        <v>1653</v>
      </c>
      <c r="B1260" t="s">
        <v>1654</v>
      </c>
      <c r="C1260">
        <f t="shared" si="19"/>
        <v>45992</v>
      </c>
      <c r="D1260">
        <v>5000</v>
      </c>
      <c r="E1260" t="str">
        <f>INDEX(Accounts!$B$2:$B$9,MATCH(D1260,Accounts!$A$2:$A$9,0))</f>
        <v>Cost of Goods Sold</v>
      </c>
      <c r="F1260" t="str">
        <f>INDEX(Accounts!$C$2:$C$9,MATCH(D1260,Accounts!$A$2:$A$9,0))</f>
        <v>COGS</v>
      </c>
      <c r="G1260" t="s">
        <v>41</v>
      </c>
      <c r="H1260" t="s">
        <v>44</v>
      </c>
      <c r="I1260">
        <v>46920</v>
      </c>
    </row>
    <row r="1261" spans="1:9" x14ac:dyDescent="0.3">
      <c r="A1261" t="s">
        <v>1655</v>
      </c>
      <c r="B1261" t="s">
        <v>1654</v>
      </c>
      <c r="C1261">
        <f t="shared" si="19"/>
        <v>45992</v>
      </c>
      <c r="D1261">
        <v>4000</v>
      </c>
      <c r="E1261" t="str">
        <f>INDEX(Accounts!$B$2:$B$9,MATCH(D1261,Accounts!$A$2:$A$9,0))</f>
        <v>Product Sales</v>
      </c>
      <c r="F1261" t="str">
        <f>INDEX(Accounts!$C$2:$C$9,MATCH(D1261,Accounts!$A$2:$A$9,0))</f>
        <v>Revenue</v>
      </c>
      <c r="G1261" t="s">
        <v>41</v>
      </c>
      <c r="H1261" t="s">
        <v>44</v>
      </c>
      <c r="I1261">
        <v>111320</v>
      </c>
    </row>
    <row r="1262" spans="1:9" x14ac:dyDescent="0.3">
      <c r="A1262" t="s">
        <v>1656</v>
      </c>
      <c r="B1262" t="s">
        <v>1654</v>
      </c>
      <c r="C1262">
        <f t="shared" si="19"/>
        <v>45992</v>
      </c>
      <c r="D1262">
        <v>6000</v>
      </c>
      <c r="E1262" t="str">
        <f>INDEX(Accounts!$B$2:$B$9,MATCH(D1262,Accounts!$A$2:$A$9,0))</f>
        <v>Salaries &amp; Wages</v>
      </c>
      <c r="F1262" t="str">
        <f>INDEX(Accounts!$C$2:$C$9,MATCH(D1262,Accounts!$A$2:$A$9,0))</f>
        <v>Operating Expense</v>
      </c>
      <c r="G1262" t="s">
        <v>41</v>
      </c>
      <c r="H1262" t="s">
        <v>46</v>
      </c>
      <c r="I1262">
        <v>23846</v>
      </c>
    </row>
    <row r="1263" spans="1:9" x14ac:dyDescent="0.3">
      <c r="A1263" t="s">
        <v>1657</v>
      </c>
      <c r="B1263" t="s">
        <v>1658</v>
      </c>
      <c r="C1263">
        <f t="shared" si="19"/>
        <v>45992</v>
      </c>
      <c r="D1263">
        <v>6000</v>
      </c>
      <c r="E1263" t="str">
        <f>INDEX(Accounts!$B$2:$B$9,MATCH(D1263,Accounts!$A$2:$A$9,0))</f>
        <v>Salaries &amp; Wages</v>
      </c>
      <c r="F1263" t="str">
        <f>INDEX(Accounts!$C$2:$C$9,MATCH(D1263,Accounts!$A$2:$A$9,0))</f>
        <v>Operating Expense</v>
      </c>
      <c r="G1263" t="s">
        <v>41</v>
      </c>
      <c r="H1263" t="s">
        <v>42</v>
      </c>
      <c r="I1263">
        <v>24039</v>
      </c>
    </row>
    <row r="1264" spans="1:9" x14ac:dyDescent="0.3">
      <c r="A1264" t="s">
        <v>1659</v>
      </c>
      <c r="B1264" t="s">
        <v>1658</v>
      </c>
      <c r="C1264">
        <f t="shared" si="19"/>
        <v>45992</v>
      </c>
      <c r="D1264">
        <v>6100</v>
      </c>
      <c r="E1264" t="str">
        <f>INDEX(Accounts!$B$2:$B$9,MATCH(D1264,Accounts!$A$2:$A$9,0))</f>
        <v>Marketing Expense</v>
      </c>
      <c r="F1264" t="str">
        <f>INDEX(Accounts!$C$2:$C$9,MATCH(D1264,Accounts!$A$2:$A$9,0))</f>
        <v>Operating Expense</v>
      </c>
      <c r="G1264" t="s">
        <v>47</v>
      </c>
      <c r="H1264" t="s">
        <v>46</v>
      </c>
      <c r="I1264">
        <v>17290</v>
      </c>
    </row>
    <row r="1265" spans="1:9" x14ac:dyDescent="0.3">
      <c r="A1265" t="s">
        <v>1660</v>
      </c>
      <c r="B1265" t="s">
        <v>1658</v>
      </c>
      <c r="C1265">
        <f t="shared" si="19"/>
        <v>45992</v>
      </c>
      <c r="D1265">
        <v>4000</v>
      </c>
      <c r="E1265" t="str">
        <f>INDEX(Accounts!$B$2:$B$9,MATCH(D1265,Accounts!$A$2:$A$9,0))</f>
        <v>Product Sales</v>
      </c>
      <c r="F1265" t="str">
        <f>INDEX(Accounts!$C$2:$C$9,MATCH(D1265,Accounts!$A$2:$A$9,0))</f>
        <v>Revenue</v>
      </c>
      <c r="G1265" t="s">
        <v>43</v>
      </c>
      <c r="H1265" t="s">
        <v>46</v>
      </c>
      <c r="I1265">
        <v>77935</v>
      </c>
    </row>
    <row r="1266" spans="1:9" x14ac:dyDescent="0.3">
      <c r="A1266" t="s">
        <v>1661</v>
      </c>
      <c r="B1266" t="s">
        <v>1662</v>
      </c>
      <c r="C1266">
        <f t="shared" si="19"/>
        <v>45992</v>
      </c>
      <c r="D1266">
        <v>4000</v>
      </c>
      <c r="E1266" t="str">
        <f>INDEX(Accounts!$B$2:$B$9,MATCH(D1266,Accounts!$A$2:$A$9,0))</f>
        <v>Product Sales</v>
      </c>
      <c r="F1266" t="str">
        <f>INDEX(Accounts!$C$2:$C$9,MATCH(D1266,Accounts!$A$2:$A$9,0))</f>
        <v>Revenue</v>
      </c>
      <c r="G1266" t="s">
        <v>41</v>
      </c>
      <c r="H1266" t="s">
        <v>46</v>
      </c>
      <c r="I1266">
        <v>80541</v>
      </c>
    </row>
    <row r="1267" spans="1:9" x14ac:dyDescent="0.3">
      <c r="A1267" t="s">
        <v>1663</v>
      </c>
      <c r="B1267" t="s">
        <v>1662</v>
      </c>
      <c r="C1267">
        <f t="shared" si="19"/>
        <v>45992</v>
      </c>
      <c r="D1267">
        <v>6000</v>
      </c>
      <c r="E1267" t="str">
        <f>INDEX(Accounts!$B$2:$B$9,MATCH(D1267,Accounts!$A$2:$A$9,0))</f>
        <v>Salaries &amp; Wages</v>
      </c>
      <c r="F1267" t="str">
        <f>INDEX(Accounts!$C$2:$C$9,MATCH(D1267,Accounts!$A$2:$A$9,0))</f>
        <v>Operating Expense</v>
      </c>
      <c r="G1267" t="s">
        <v>41</v>
      </c>
      <c r="H1267" t="s">
        <v>44</v>
      </c>
      <c r="I1267">
        <v>12794</v>
      </c>
    </row>
    <row r="1268" spans="1:9" x14ac:dyDescent="0.3">
      <c r="A1268" t="s">
        <v>1664</v>
      </c>
      <c r="B1268" t="s">
        <v>1665</v>
      </c>
      <c r="C1268">
        <f t="shared" si="19"/>
        <v>45992</v>
      </c>
      <c r="D1268">
        <v>6400</v>
      </c>
      <c r="E1268" t="str">
        <f>INDEX(Accounts!$B$2:$B$9,MATCH(D1268,Accounts!$A$2:$A$9,0))</f>
        <v>Software &amp; Admin</v>
      </c>
      <c r="F1268" t="str">
        <f>INDEX(Accounts!$C$2:$C$9,MATCH(D1268,Accounts!$A$2:$A$9,0))</f>
        <v>Operating Expense</v>
      </c>
      <c r="G1268" t="s">
        <v>45</v>
      </c>
      <c r="H1268" t="s">
        <v>46</v>
      </c>
      <c r="I1268">
        <v>4726</v>
      </c>
    </row>
    <row r="1269" spans="1:9" x14ac:dyDescent="0.3">
      <c r="A1269" t="s">
        <v>1666</v>
      </c>
      <c r="B1269" t="s">
        <v>1665</v>
      </c>
      <c r="C1269">
        <f t="shared" si="19"/>
        <v>45992</v>
      </c>
      <c r="D1269">
        <v>6200</v>
      </c>
      <c r="E1269" t="str">
        <f>INDEX(Accounts!$B$2:$B$9,MATCH(D1269,Accounts!$A$2:$A$9,0))</f>
        <v>Rent &amp; Utilities</v>
      </c>
      <c r="F1269" t="str">
        <f>INDEX(Accounts!$C$2:$C$9,MATCH(D1269,Accounts!$A$2:$A$9,0))</f>
        <v>Operating Expense</v>
      </c>
      <c r="G1269" t="s">
        <v>43</v>
      </c>
      <c r="H1269" t="s">
        <v>46</v>
      </c>
      <c r="I1269">
        <v>9126</v>
      </c>
    </row>
    <row r="1270" spans="1:9" x14ac:dyDescent="0.3">
      <c r="A1270" t="s">
        <v>1667</v>
      </c>
      <c r="B1270" t="s">
        <v>1665</v>
      </c>
      <c r="C1270">
        <f t="shared" si="19"/>
        <v>45992</v>
      </c>
      <c r="D1270">
        <v>6300</v>
      </c>
      <c r="E1270" t="str">
        <f>INDEX(Accounts!$B$2:$B$9,MATCH(D1270,Accounts!$A$2:$A$9,0))</f>
        <v>Logistics Expense</v>
      </c>
      <c r="F1270" t="str">
        <f>INDEX(Accounts!$C$2:$C$9,MATCH(D1270,Accounts!$A$2:$A$9,0))</f>
        <v>Operating Expense</v>
      </c>
      <c r="G1270" t="s">
        <v>43</v>
      </c>
      <c r="H1270" t="s">
        <v>46</v>
      </c>
      <c r="I1270">
        <v>8900</v>
      </c>
    </row>
    <row r="1271" spans="1:9" x14ac:dyDescent="0.3">
      <c r="A1271" t="s">
        <v>1668</v>
      </c>
      <c r="B1271" t="s">
        <v>1665</v>
      </c>
      <c r="C1271">
        <f t="shared" si="19"/>
        <v>45992</v>
      </c>
      <c r="D1271">
        <v>6100</v>
      </c>
      <c r="E1271" t="str">
        <f>INDEX(Accounts!$B$2:$B$9,MATCH(D1271,Accounts!$A$2:$A$9,0))</f>
        <v>Marketing Expense</v>
      </c>
      <c r="F1271" t="str">
        <f>INDEX(Accounts!$C$2:$C$9,MATCH(D1271,Accounts!$A$2:$A$9,0))</f>
        <v>Operating Expense</v>
      </c>
      <c r="G1271" t="s">
        <v>45</v>
      </c>
      <c r="H1271" t="s">
        <v>46</v>
      </c>
      <c r="I1271">
        <v>12028</v>
      </c>
    </row>
    <row r="1272" spans="1:9" x14ac:dyDescent="0.3">
      <c r="A1272" t="s">
        <v>1669</v>
      </c>
      <c r="B1272" t="s">
        <v>1665</v>
      </c>
      <c r="C1272">
        <f t="shared" si="19"/>
        <v>45992</v>
      </c>
      <c r="D1272">
        <v>6100</v>
      </c>
      <c r="E1272" t="str">
        <f>INDEX(Accounts!$B$2:$B$9,MATCH(D1272,Accounts!$A$2:$A$9,0))</f>
        <v>Marketing Expense</v>
      </c>
      <c r="F1272" t="str">
        <f>INDEX(Accounts!$C$2:$C$9,MATCH(D1272,Accounts!$A$2:$A$9,0))</f>
        <v>Operating Expense</v>
      </c>
      <c r="G1272" t="s">
        <v>43</v>
      </c>
      <c r="H1272" t="s">
        <v>42</v>
      </c>
      <c r="I1272">
        <v>16477</v>
      </c>
    </row>
    <row r="1273" spans="1:9" x14ac:dyDescent="0.3">
      <c r="A1273" t="s">
        <v>1670</v>
      </c>
      <c r="B1273" t="s">
        <v>1671</v>
      </c>
      <c r="C1273">
        <f t="shared" si="19"/>
        <v>45992</v>
      </c>
      <c r="D1273">
        <v>6000</v>
      </c>
      <c r="E1273" t="str">
        <f>INDEX(Accounts!$B$2:$B$9,MATCH(D1273,Accounts!$A$2:$A$9,0))</f>
        <v>Salaries &amp; Wages</v>
      </c>
      <c r="F1273" t="str">
        <f>INDEX(Accounts!$C$2:$C$9,MATCH(D1273,Accounts!$A$2:$A$9,0))</f>
        <v>Operating Expense</v>
      </c>
      <c r="G1273" t="s">
        <v>41</v>
      </c>
      <c r="H1273" t="s">
        <v>42</v>
      </c>
      <c r="I1273">
        <v>15125</v>
      </c>
    </row>
    <row r="1274" spans="1:9" x14ac:dyDescent="0.3">
      <c r="A1274" t="s">
        <v>1672</v>
      </c>
      <c r="B1274" t="s">
        <v>1671</v>
      </c>
      <c r="C1274">
        <f t="shared" si="19"/>
        <v>45992</v>
      </c>
      <c r="D1274">
        <v>5000</v>
      </c>
      <c r="E1274" t="str">
        <f>INDEX(Accounts!$B$2:$B$9,MATCH(D1274,Accounts!$A$2:$A$9,0))</f>
        <v>Cost of Goods Sold</v>
      </c>
      <c r="F1274" t="str">
        <f>INDEX(Accounts!$C$2:$C$9,MATCH(D1274,Accounts!$A$2:$A$9,0))</f>
        <v>COGS</v>
      </c>
      <c r="G1274" t="s">
        <v>47</v>
      </c>
      <c r="H1274" t="s">
        <v>42</v>
      </c>
      <c r="I1274">
        <v>42121</v>
      </c>
    </row>
    <row r="1275" spans="1:9" x14ac:dyDescent="0.3">
      <c r="A1275" t="s">
        <v>1673</v>
      </c>
      <c r="B1275" t="s">
        <v>1671</v>
      </c>
      <c r="C1275">
        <f t="shared" si="19"/>
        <v>45992</v>
      </c>
      <c r="D1275">
        <v>5000</v>
      </c>
      <c r="E1275" t="str">
        <f>INDEX(Accounts!$B$2:$B$9,MATCH(D1275,Accounts!$A$2:$A$9,0))</f>
        <v>Cost of Goods Sold</v>
      </c>
      <c r="F1275" t="str">
        <f>INDEX(Accounts!$C$2:$C$9,MATCH(D1275,Accounts!$A$2:$A$9,0))</f>
        <v>COGS</v>
      </c>
      <c r="G1275" t="s">
        <v>45</v>
      </c>
      <c r="H1275" t="s">
        <v>42</v>
      </c>
      <c r="I1275">
        <v>20442</v>
      </c>
    </row>
    <row r="1276" spans="1:9" x14ac:dyDescent="0.3">
      <c r="A1276" t="s">
        <v>1674</v>
      </c>
      <c r="B1276" t="s">
        <v>1671</v>
      </c>
      <c r="C1276">
        <f t="shared" si="19"/>
        <v>45992</v>
      </c>
      <c r="D1276">
        <v>6000</v>
      </c>
      <c r="E1276" t="str">
        <f>INDEX(Accounts!$B$2:$B$9,MATCH(D1276,Accounts!$A$2:$A$9,0))</f>
        <v>Salaries &amp; Wages</v>
      </c>
      <c r="F1276" t="str">
        <f>INDEX(Accounts!$C$2:$C$9,MATCH(D1276,Accounts!$A$2:$A$9,0))</f>
        <v>Operating Expense</v>
      </c>
      <c r="G1276" t="s">
        <v>41</v>
      </c>
      <c r="H1276" t="s">
        <v>46</v>
      </c>
      <c r="I1276">
        <v>15869</v>
      </c>
    </row>
    <row r="1277" spans="1:9" x14ac:dyDescent="0.3">
      <c r="A1277" t="s">
        <v>1675</v>
      </c>
      <c r="B1277" t="s">
        <v>1671</v>
      </c>
      <c r="C1277">
        <f t="shared" si="19"/>
        <v>45992</v>
      </c>
      <c r="D1277">
        <v>6200</v>
      </c>
      <c r="E1277" t="str">
        <f>INDEX(Accounts!$B$2:$B$9,MATCH(D1277,Accounts!$A$2:$A$9,0))</f>
        <v>Rent &amp; Utilities</v>
      </c>
      <c r="F1277" t="str">
        <f>INDEX(Accounts!$C$2:$C$9,MATCH(D1277,Accounts!$A$2:$A$9,0))</f>
        <v>Operating Expense</v>
      </c>
      <c r="G1277" t="s">
        <v>43</v>
      </c>
      <c r="H1277" t="s">
        <v>44</v>
      </c>
      <c r="I1277">
        <v>6070</v>
      </c>
    </row>
    <row r="1278" spans="1:9" x14ac:dyDescent="0.3">
      <c r="A1278" t="s">
        <v>1676</v>
      </c>
      <c r="B1278" t="s">
        <v>1677</v>
      </c>
      <c r="C1278">
        <f t="shared" si="19"/>
        <v>45992</v>
      </c>
      <c r="D1278">
        <v>5000</v>
      </c>
      <c r="E1278" t="str">
        <f>INDEX(Accounts!$B$2:$B$9,MATCH(D1278,Accounts!$A$2:$A$9,0))</f>
        <v>Cost of Goods Sold</v>
      </c>
      <c r="F1278" t="str">
        <f>INDEX(Accounts!$C$2:$C$9,MATCH(D1278,Accounts!$A$2:$A$9,0))</f>
        <v>COGS</v>
      </c>
      <c r="G1278" t="s">
        <v>41</v>
      </c>
      <c r="H1278" t="s">
        <v>44</v>
      </c>
      <c r="I1278">
        <v>29156</v>
      </c>
    </row>
    <row r="1279" spans="1:9" x14ac:dyDescent="0.3">
      <c r="A1279" t="s">
        <v>1678</v>
      </c>
      <c r="B1279" t="s">
        <v>1679</v>
      </c>
      <c r="C1279">
        <f t="shared" si="19"/>
        <v>45992</v>
      </c>
      <c r="D1279">
        <v>4000</v>
      </c>
      <c r="E1279" t="str">
        <f>INDEX(Accounts!$B$2:$B$9,MATCH(D1279,Accounts!$A$2:$A$9,0))</f>
        <v>Product Sales</v>
      </c>
      <c r="F1279" t="str">
        <f>INDEX(Accounts!$C$2:$C$9,MATCH(D1279,Accounts!$A$2:$A$9,0))</f>
        <v>Revenue</v>
      </c>
      <c r="G1279" t="s">
        <v>41</v>
      </c>
      <c r="H1279" t="s">
        <v>42</v>
      </c>
      <c r="I1279">
        <v>77346</v>
      </c>
    </row>
    <row r="1280" spans="1:9" x14ac:dyDescent="0.3">
      <c r="A1280" t="s">
        <v>1680</v>
      </c>
      <c r="B1280" t="s">
        <v>1679</v>
      </c>
      <c r="C1280">
        <f t="shared" si="19"/>
        <v>45992</v>
      </c>
      <c r="D1280">
        <v>6100</v>
      </c>
      <c r="E1280" t="str">
        <f>INDEX(Accounts!$B$2:$B$9,MATCH(D1280,Accounts!$A$2:$A$9,0))</f>
        <v>Marketing Expense</v>
      </c>
      <c r="F1280" t="str">
        <f>INDEX(Accounts!$C$2:$C$9,MATCH(D1280,Accounts!$A$2:$A$9,0))</f>
        <v>Operating Expense</v>
      </c>
      <c r="G1280" t="s">
        <v>41</v>
      </c>
      <c r="H1280" t="s">
        <v>46</v>
      </c>
      <c r="I1280">
        <v>12948</v>
      </c>
    </row>
    <row r="1281" spans="1:9" x14ac:dyDescent="0.3">
      <c r="A1281" t="s">
        <v>1681</v>
      </c>
      <c r="B1281" t="s">
        <v>1679</v>
      </c>
      <c r="C1281">
        <f t="shared" si="19"/>
        <v>45992</v>
      </c>
      <c r="D1281">
        <v>6000</v>
      </c>
      <c r="E1281" t="str">
        <f>INDEX(Accounts!$B$2:$B$9,MATCH(D1281,Accounts!$A$2:$A$9,0))</f>
        <v>Salaries &amp; Wages</v>
      </c>
      <c r="F1281" t="str">
        <f>INDEX(Accounts!$C$2:$C$9,MATCH(D1281,Accounts!$A$2:$A$9,0))</f>
        <v>Operating Expense</v>
      </c>
      <c r="G1281" t="s">
        <v>41</v>
      </c>
      <c r="H1281" t="s">
        <v>42</v>
      </c>
      <c r="I1281">
        <v>12566</v>
      </c>
    </row>
    <row r="1282" spans="1:9" x14ac:dyDescent="0.3">
      <c r="A1282" t="s">
        <v>1682</v>
      </c>
      <c r="B1282" t="s">
        <v>1679</v>
      </c>
      <c r="C1282">
        <f t="shared" ref="C1282:C1321" si="20">DATE(YEAR(B1282),MONTH(B1282),1)</f>
        <v>45992</v>
      </c>
      <c r="D1282">
        <v>6100</v>
      </c>
      <c r="E1282" t="str">
        <f>INDEX(Accounts!$B$2:$B$9,MATCH(D1282,Accounts!$A$2:$A$9,0))</f>
        <v>Marketing Expense</v>
      </c>
      <c r="F1282" t="str">
        <f>INDEX(Accounts!$C$2:$C$9,MATCH(D1282,Accounts!$A$2:$A$9,0))</f>
        <v>Operating Expense</v>
      </c>
      <c r="G1282" t="s">
        <v>41</v>
      </c>
      <c r="H1282" t="s">
        <v>44</v>
      </c>
      <c r="I1282">
        <v>16015</v>
      </c>
    </row>
    <row r="1283" spans="1:9" x14ac:dyDescent="0.3">
      <c r="A1283" t="s">
        <v>1683</v>
      </c>
      <c r="B1283" t="s">
        <v>1679</v>
      </c>
      <c r="C1283">
        <f t="shared" si="20"/>
        <v>45992</v>
      </c>
      <c r="D1283">
        <v>6000</v>
      </c>
      <c r="E1283" t="str">
        <f>INDEX(Accounts!$B$2:$B$9,MATCH(D1283,Accounts!$A$2:$A$9,0))</f>
        <v>Salaries &amp; Wages</v>
      </c>
      <c r="F1283" t="str">
        <f>INDEX(Accounts!$C$2:$C$9,MATCH(D1283,Accounts!$A$2:$A$9,0))</f>
        <v>Operating Expense</v>
      </c>
      <c r="G1283" t="s">
        <v>47</v>
      </c>
      <c r="H1283" t="s">
        <v>42</v>
      </c>
      <c r="I1283">
        <v>6602</v>
      </c>
    </row>
    <row r="1284" spans="1:9" x14ac:dyDescent="0.3">
      <c r="A1284" t="s">
        <v>1684</v>
      </c>
      <c r="B1284" t="s">
        <v>1679</v>
      </c>
      <c r="C1284">
        <f t="shared" si="20"/>
        <v>45992</v>
      </c>
      <c r="D1284">
        <v>6000</v>
      </c>
      <c r="E1284" t="str">
        <f>INDEX(Accounts!$B$2:$B$9,MATCH(D1284,Accounts!$A$2:$A$9,0))</f>
        <v>Salaries &amp; Wages</v>
      </c>
      <c r="F1284" t="str">
        <f>INDEX(Accounts!$C$2:$C$9,MATCH(D1284,Accounts!$A$2:$A$9,0))</f>
        <v>Operating Expense</v>
      </c>
      <c r="G1284" t="s">
        <v>43</v>
      </c>
      <c r="H1284" t="s">
        <v>44</v>
      </c>
      <c r="I1284">
        <v>29554</v>
      </c>
    </row>
    <row r="1285" spans="1:9" x14ac:dyDescent="0.3">
      <c r="A1285" t="s">
        <v>1685</v>
      </c>
      <c r="B1285" t="s">
        <v>1679</v>
      </c>
      <c r="C1285">
        <f t="shared" si="20"/>
        <v>45992</v>
      </c>
      <c r="D1285">
        <v>4000</v>
      </c>
      <c r="E1285" t="str">
        <f>INDEX(Accounts!$B$2:$B$9,MATCH(D1285,Accounts!$A$2:$A$9,0))</f>
        <v>Product Sales</v>
      </c>
      <c r="F1285" t="str">
        <f>INDEX(Accounts!$C$2:$C$9,MATCH(D1285,Accounts!$A$2:$A$9,0))</f>
        <v>Revenue</v>
      </c>
      <c r="G1285" t="s">
        <v>43</v>
      </c>
      <c r="H1285" t="s">
        <v>46</v>
      </c>
      <c r="I1285">
        <v>163660</v>
      </c>
    </row>
    <row r="1286" spans="1:9" x14ac:dyDescent="0.3">
      <c r="A1286" t="s">
        <v>1686</v>
      </c>
      <c r="B1286" t="s">
        <v>1679</v>
      </c>
      <c r="C1286">
        <f t="shared" si="20"/>
        <v>45992</v>
      </c>
      <c r="D1286">
        <v>5000</v>
      </c>
      <c r="E1286" t="str">
        <f>INDEX(Accounts!$B$2:$B$9,MATCH(D1286,Accounts!$A$2:$A$9,0))</f>
        <v>Cost of Goods Sold</v>
      </c>
      <c r="F1286" t="str">
        <f>INDEX(Accounts!$C$2:$C$9,MATCH(D1286,Accounts!$A$2:$A$9,0))</f>
        <v>COGS</v>
      </c>
      <c r="G1286" t="s">
        <v>41</v>
      </c>
      <c r="H1286" t="s">
        <v>46</v>
      </c>
      <c r="I1286">
        <v>40531</v>
      </c>
    </row>
    <row r="1287" spans="1:9" x14ac:dyDescent="0.3">
      <c r="A1287" t="s">
        <v>1687</v>
      </c>
      <c r="B1287" t="s">
        <v>1679</v>
      </c>
      <c r="C1287">
        <f t="shared" si="20"/>
        <v>45992</v>
      </c>
      <c r="D1287">
        <v>4000</v>
      </c>
      <c r="E1287" t="str">
        <f>INDEX(Accounts!$B$2:$B$9,MATCH(D1287,Accounts!$A$2:$A$9,0))</f>
        <v>Product Sales</v>
      </c>
      <c r="F1287" t="str">
        <f>INDEX(Accounts!$C$2:$C$9,MATCH(D1287,Accounts!$A$2:$A$9,0))</f>
        <v>Revenue</v>
      </c>
      <c r="G1287" t="s">
        <v>41</v>
      </c>
      <c r="H1287" t="s">
        <v>42</v>
      </c>
      <c r="I1287">
        <v>25414</v>
      </c>
    </row>
    <row r="1288" spans="1:9" x14ac:dyDescent="0.3">
      <c r="A1288" t="s">
        <v>1688</v>
      </c>
      <c r="B1288" t="s">
        <v>1679</v>
      </c>
      <c r="C1288">
        <f t="shared" si="20"/>
        <v>45992</v>
      </c>
      <c r="D1288">
        <v>4000</v>
      </c>
      <c r="E1288" t="str">
        <f>INDEX(Accounts!$B$2:$B$9,MATCH(D1288,Accounts!$A$2:$A$9,0))</f>
        <v>Product Sales</v>
      </c>
      <c r="F1288" t="str">
        <f>INDEX(Accounts!$C$2:$C$9,MATCH(D1288,Accounts!$A$2:$A$9,0))</f>
        <v>Revenue</v>
      </c>
      <c r="G1288" t="s">
        <v>47</v>
      </c>
      <c r="H1288" t="s">
        <v>44</v>
      </c>
      <c r="I1288">
        <v>107444</v>
      </c>
    </row>
    <row r="1289" spans="1:9" x14ac:dyDescent="0.3">
      <c r="A1289" t="s">
        <v>1689</v>
      </c>
      <c r="B1289" t="s">
        <v>1690</v>
      </c>
      <c r="C1289">
        <f t="shared" si="20"/>
        <v>45992</v>
      </c>
      <c r="D1289">
        <v>4000</v>
      </c>
      <c r="E1289" t="str">
        <f>INDEX(Accounts!$B$2:$B$9,MATCH(D1289,Accounts!$A$2:$A$9,0))</f>
        <v>Product Sales</v>
      </c>
      <c r="F1289" t="str">
        <f>INDEX(Accounts!$C$2:$C$9,MATCH(D1289,Accounts!$A$2:$A$9,0))</f>
        <v>Revenue</v>
      </c>
      <c r="G1289" t="s">
        <v>41</v>
      </c>
      <c r="H1289" t="s">
        <v>44</v>
      </c>
      <c r="I1289">
        <v>140922</v>
      </c>
    </row>
    <row r="1290" spans="1:9" x14ac:dyDescent="0.3">
      <c r="A1290" t="s">
        <v>1691</v>
      </c>
      <c r="B1290" t="s">
        <v>1690</v>
      </c>
      <c r="C1290">
        <f t="shared" si="20"/>
        <v>45992</v>
      </c>
      <c r="D1290">
        <v>4000</v>
      </c>
      <c r="E1290" t="str">
        <f>INDEX(Accounts!$B$2:$B$9,MATCH(D1290,Accounts!$A$2:$A$9,0))</f>
        <v>Product Sales</v>
      </c>
      <c r="F1290" t="str">
        <f>INDEX(Accounts!$C$2:$C$9,MATCH(D1290,Accounts!$A$2:$A$9,0))</f>
        <v>Revenue</v>
      </c>
      <c r="G1290" t="s">
        <v>47</v>
      </c>
      <c r="H1290" t="s">
        <v>42</v>
      </c>
      <c r="I1290">
        <v>25926</v>
      </c>
    </row>
    <row r="1291" spans="1:9" x14ac:dyDescent="0.3">
      <c r="A1291" t="s">
        <v>1692</v>
      </c>
      <c r="B1291" t="s">
        <v>1693</v>
      </c>
      <c r="C1291">
        <f t="shared" si="20"/>
        <v>45992</v>
      </c>
      <c r="D1291">
        <v>5000</v>
      </c>
      <c r="E1291" t="str">
        <f>INDEX(Accounts!$B$2:$B$9,MATCH(D1291,Accounts!$A$2:$A$9,0))</f>
        <v>Cost of Goods Sold</v>
      </c>
      <c r="F1291" t="str">
        <f>INDEX(Accounts!$C$2:$C$9,MATCH(D1291,Accounts!$A$2:$A$9,0))</f>
        <v>COGS</v>
      </c>
      <c r="G1291" t="s">
        <v>45</v>
      </c>
      <c r="H1291" t="s">
        <v>42</v>
      </c>
      <c r="I1291">
        <v>15364</v>
      </c>
    </row>
    <row r="1292" spans="1:9" x14ac:dyDescent="0.3">
      <c r="A1292" t="s">
        <v>1694</v>
      </c>
      <c r="B1292" t="s">
        <v>1693</v>
      </c>
      <c r="C1292">
        <f t="shared" si="20"/>
        <v>45992</v>
      </c>
      <c r="D1292">
        <v>4000</v>
      </c>
      <c r="E1292" t="str">
        <f>INDEX(Accounts!$B$2:$B$9,MATCH(D1292,Accounts!$A$2:$A$9,0))</f>
        <v>Product Sales</v>
      </c>
      <c r="F1292" t="str">
        <f>INDEX(Accounts!$C$2:$C$9,MATCH(D1292,Accounts!$A$2:$A$9,0))</f>
        <v>Revenue</v>
      </c>
      <c r="G1292" t="s">
        <v>47</v>
      </c>
      <c r="H1292" t="s">
        <v>46</v>
      </c>
      <c r="I1292">
        <v>119429</v>
      </c>
    </row>
    <row r="1293" spans="1:9" x14ac:dyDescent="0.3">
      <c r="A1293" t="s">
        <v>1695</v>
      </c>
      <c r="B1293" t="s">
        <v>1693</v>
      </c>
      <c r="C1293">
        <f t="shared" si="20"/>
        <v>45992</v>
      </c>
      <c r="D1293">
        <v>4000</v>
      </c>
      <c r="E1293" t="str">
        <f>INDEX(Accounts!$B$2:$B$9,MATCH(D1293,Accounts!$A$2:$A$9,0))</f>
        <v>Product Sales</v>
      </c>
      <c r="F1293" t="str">
        <f>INDEX(Accounts!$C$2:$C$9,MATCH(D1293,Accounts!$A$2:$A$9,0))</f>
        <v>Revenue</v>
      </c>
      <c r="G1293" t="s">
        <v>41</v>
      </c>
      <c r="H1293" t="s">
        <v>44</v>
      </c>
      <c r="I1293">
        <v>60150</v>
      </c>
    </row>
    <row r="1294" spans="1:9" x14ac:dyDescent="0.3">
      <c r="A1294" t="s">
        <v>1696</v>
      </c>
      <c r="B1294" t="s">
        <v>1693</v>
      </c>
      <c r="C1294">
        <f t="shared" si="20"/>
        <v>45992</v>
      </c>
      <c r="D1294">
        <v>5000</v>
      </c>
      <c r="E1294" t="str">
        <f>INDEX(Accounts!$B$2:$B$9,MATCH(D1294,Accounts!$A$2:$A$9,0))</f>
        <v>Cost of Goods Sold</v>
      </c>
      <c r="F1294" t="str">
        <f>INDEX(Accounts!$C$2:$C$9,MATCH(D1294,Accounts!$A$2:$A$9,0))</f>
        <v>COGS</v>
      </c>
      <c r="G1294" t="s">
        <v>43</v>
      </c>
      <c r="H1294" t="s">
        <v>46</v>
      </c>
      <c r="I1294">
        <v>48369</v>
      </c>
    </row>
    <row r="1295" spans="1:9" x14ac:dyDescent="0.3">
      <c r="A1295" t="s">
        <v>1697</v>
      </c>
      <c r="B1295" t="s">
        <v>1698</v>
      </c>
      <c r="C1295">
        <f t="shared" si="20"/>
        <v>45992</v>
      </c>
      <c r="D1295">
        <v>6100</v>
      </c>
      <c r="E1295" t="str">
        <f>INDEX(Accounts!$B$2:$B$9,MATCH(D1295,Accounts!$A$2:$A$9,0))</f>
        <v>Marketing Expense</v>
      </c>
      <c r="F1295" t="str">
        <f>INDEX(Accounts!$C$2:$C$9,MATCH(D1295,Accounts!$A$2:$A$9,0))</f>
        <v>Operating Expense</v>
      </c>
      <c r="G1295" t="s">
        <v>43</v>
      </c>
      <c r="H1295" t="s">
        <v>42</v>
      </c>
      <c r="I1295">
        <v>9046</v>
      </c>
    </row>
    <row r="1296" spans="1:9" x14ac:dyDescent="0.3">
      <c r="A1296" t="s">
        <v>1699</v>
      </c>
      <c r="B1296" t="s">
        <v>1698</v>
      </c>
      <c r="C1296">
        <f t="shared" si="20"/>
        <v>45992</v>
      </c>
      <c r="D1296">
        <v>4100</v>
      </c>
      <c r="E1296" t="str">
        <f>INDEX(Accounts!$B$2:$B$9,MATCH(D1296,Accounts!$A$2:$A$9,0))</f>
        <v>Sales Returns &amp; Discounts</v>
      </c>
      <c r="F1296" t="str">
        <f>INDEX(Accounts!$C$2:$C$9,MATCH(D1296,Accounts!$A$2:$A$9,0))</f>
        <v>Contra Revenue</v>
      </c>
      <c r="G1296" t="s">
        <v>43</v>
      </c>
      <c r="H1296" t="s">
        <v>42</v>
      </c>
      <c r="I1296">
        <v>8005</v>
      </c>
    </row>
    <row r="1297" spans="1:9" x14ac:dyDescent="0.3">
      <c r="A1297" t="s">
        <v>1700</v>
      </c>
      <c r="B1297" t="s">
        <v>1698</v>
      </c>
      <c r="C1297">
        <f t="shared" si="20"/>
        <v>45992</v>
      </c>
      <c r="D1297">
        <v>4000</v>
      </c>
      <c r="E1297" t="str">
        <f>INDEX(Accounts!$B$2:$B$9,MATCH(D1297,Accounts!$A$2:$A$9,0))</f>
        <v>Product Sales</v>
      </c>
      <c r="F1297" t="str">
        <f>INDEX(Accounts!$C$2:$C$9,MATCH(D1297,Accounts!$A$2:$A$9,0))</f>
        <v>Revenue</v>
      </c>
      <c r="G1297" t="s">
        <v>43</v>
      </c>
      <c r="H1297" t="s">
        <v>44</v>
      </c>
      <c r="I1297">
        <v>87296</v>
      </c>
    </row>
    <row r="1298" spans="1:9" x14ac:dyDescent="0.3">
      <c r="A1298" t="s">
        <v>1701</v>
      </c>
      <c r="B1298" t="s">
        <v>1702</v>
      </c>
      <c r="C1298">
        <f t="shared" si="20"/>
        <v>45992</v>
      </c>
      <c r="D1298">
        <v>4000</v>
      </c>
      <c r="E1298" t="str">
        <f>INDEX(Accounts!$B$2:$B$9,MATCH(D1298,Accounts!$A$2:$A$9,0))</f>
        <v>Product Sales</v>
      </c>
      <c r="F1298" t="str">
        <f>INDEX(Accounts!$C$2:$C$9,MATCH(D1298,Accounts!$A$2:$A$9,0))</f>
        <v>Revenue</v>
      </c>
      <c r="G1298" t="s">
        <v>48</v>
      </c>
      <c r="H1298" t="s">
        <v>42</v>
      </c>
      <c r="I1298">
        <v>100414</v>
      </c>
    </row>
    <row r="1299" spans="1:9" x14ac:dyDescent="0.3">
      <c r="A1299" t="s">
        <v>1703</v>
      </c>
      <c r="B1299" t="s">
        <v>1702</v>
      </c>
      <c r="C1299">
        <f t="shared" si="20"/>
        <v>45992</v>
      </c>
      <c r="D1299">
        <v>4000</v>
      </c>
      <c r="E1299" t="str">
        <f>INDEX(Accounts!$B$2:$B$9,MATCH(D1299,Accounts!$A$2:$A$9,0))</f>
        <v>Product Sales</v>
      </c>
      <c r="F1299" t="str">
        <f>INDEX(Accounts!$C$2:$C$9,MATCH(D1299,Accounts!$A$2:$A$9,0))</f>
        <v>Revenue</v>
      </c>
      <c r="G1299" t="s">
        <v>45</v>
      </c>
      <c r="H1299" t="s">
        <v>42</v>
      </c>
      <c r="I1299">
        <v>59483</v>
      </c>
    </row>
    <row r="1300" spans="1:9" x14ac:dyDescent="0.3">
      <c r="A1300" t="s">
        <v>1704</v>
      </c>
      <c r="B1300" t="s">
        <v>1705</v>
      </c>
      <c r="C1300">
        <f t="shared" si="20"/>
        <v>45992</v>
      </c>
      <c r="D1300">
        <v>4100</v>
      </c>
      <c r="E1300" t="str">
        <f>INDEX(Accounts!$B$2:$B$9,MATCH(D1300,Accounts!$A$2:$A$9,0))</f>
        <v>Sales Returns &amp; Discounts</v>
      </c>
      <c r="F1300" t="str">
        <f>INDEX(Accounts!$C$2:$C$9,MATCH(D1300,Accounts!$A$2:$A$9,0))</f>
        <v>Contra Revenue</v>
      </c>
      <c r="G1300" t="s">
        <v>48</v>
      </c>
      <c r="H1300" t="s">
        <v>44</v>
      </c>
      <c r="I1300">
        <v>5970</v>
      </c>
    </row>
    <row r="1301" spans="1:9" x14ac:dyDescent="0.3">
      <c r="A1301" t="s">
        <v>1706</v>
      </c>
      <c r="B1301" t="s">
        <v>1707</v>
      </c>
      <c r="C1301">
        <f t="shared" si="20"/>
        <v>45992</v>
      </c>
      <c r="D1301">
        <v>4000</v>
      </c>
      <c r="E1301" t="str">
        <f>INDEX(Accounts!$B$2:$B$9,MATCH(D1301,Accounts!$A$2:$A$9,0))</f>
        <v>Product Sales</v>
      </c>
      <c r="F1301" t="str">
        <f>INDEX(Accounts!$C$2:$C$9,MATCH(D1301,Accounts!$A$2:$A$9,0))</f>
        <v>Revenue</v>
      </c>
      <c r="G1301" t="s">
        <v>41</v>
      </c>
      <c r="H1301" t="s">
        <v>44</v>
      </c>
      <c r="I1301">
        <v>32724</v>
      </c>
    </row>
    <row r="1302" spans="1:9" x14ac:dyDescent="0.3">
      <c r="A1302" t="s">
        <v>1708</v>
      </c>
      <c r="B1302" t="s">
        <v>1707</v>
      </c>
      <c r="C1302">
        <f t="shared" si="20"/>
        <v>45992</v>
      </c>
      <c r="D1302">
        <v>6000</v>
      </c>
      <c r="E1302" t="str">
        <f>INDEX(Accounts!$B$2:$B$9,MATCH(D1302,Accounts!$A$2:$A$9,0))</f>
        <v>Salaries &amp; Wages</v>
      </c>
      <c r="F1302" t="str">
        <f>INDEX(Accounts!$C$2:$C$9,MATCH(D1302,Accounts!$A$2:$A$9,0))</f>
        <v>Operating Expense</v>
      </c>
      <c r="G1302" t="s">
        <v>43</v>
      </c>
      <c r="H1302" t="s">
        <v>42</v>
      </c>
      <c r="I1302">
        <v>15937</v>
      </c>
    </row>
    <row r="1303" spans="1:9" x14ac:dyDescent="0.3">
      <c r="A1303" t="s">
        <v>1709</v>
      </c>
      <c r="B1303" t="s">
        <v>1707</v>
      </c>
      <c r="C1303">
        <f t="shared" si="20"/>
        <v>45992</v>
      </c>
      <c r="D1303">
        <v>6300</v>
      </c>
      <c r="E1303" t="str">
        <f>INDEX(Accounts!$B$2:$B$9,MATCH(D1303,Accounts!$A$2:$A$9,0))</f>
        <v>Logistics Expense</v>
      </c>
      <c r="F1303" t="str">
        <f>INDEX(Accounts!$C$2:$C$9,MATCH(D1303,Accounts!$A$2:$A$9,0))</f>
        <v>Operating Expense</v>
      </c>
      <c r="G1303" t="s">
        <v>47</v>
      </c>
      <c r="H1303" t="s">
        <v>42</v>
      </c>
      <c r="I1303">
        <v>3946</v>
      </c>
    </row>
    <row r="1304" spans="1:9" x14ac:dyDescent="0.3">
      <c r="A1304" t="s">
        <v>1710</v>
      </c>
      <c r="B1304" t="s">
        <v>1711</v>
      </c>
      <c r="C1304">
        <f t="shared" si="20"/>
        <v>45992</v>
      </c>
      <c r="D1304">
        <v>5000</v>
      </c>
      <c r="E1304" t="str">
        <f>INDEX(Accounts!$B$2:$B$9,MATCH(D1304,Accounts!$A$2:$A$9,0))</f>
        <v>Cost of Goods Sold</v>
      </c>
      <c r="F1304" t="str">
        <f>INDEX(Accounts!$C$2:$C$9,MATCH(D1304,Accounts!$A$2:$A$9,0))</f>
        <v>COGS</v>
      </c>
      <c r="G1304" t="s">
        <v>43</v>
      </c>
      <c r="H1304" t="s">
        <v>46</v>
      </c>
      <c r="I1304">
        <v>28676</v>
      </c>
    </row>
    <row r="1305" spans="1:9" x14ac:dyDescent="0.3">
      <c r="A1305" t="s">
        <v>1712</v>
      </c>
      <c r="B1305" t="s">
        <v>1713</v>
      </c>
      <c r="C1305">
        <f t="shared" si="20"/>
        <v>45992</v>
      </c>
      <c r="D1305">
        <v>4000</v>
      </c>
      <c r="E1305" t="str">
        <f>INDEX(Accounts!$B$2:$B$9,MATCH(D1305,Accounts!$A$2:$A$9,0))</f>
        <v>Product Sales</v>
      </c>
      <c r="F1305" t="str">
        <f>INDEX(Accounts!$C$2:$C$9,MATCH(D1305,Accounts!$A$2:$A$9,0))</f>
        <v>Revenue</v>
      </c>
      <c r="G1305" t="s">
        <v>41</v>
      </c>
      <c r="H1305" t="s">
        <v>46</v>
      </c>
      <c r="I1305">
        <v>126324</v>
      </c>
    </row>
    <row r="1306" spans="1:9" x14ac:dyDescent="0.3">
      <c r="A1306" t="s">
        <v>1714</v>
      </c>
      <c r="B1306" t="s">
        <v>1713</v>
      </c>
      <c r="C1306">
        <f t="shared" si="20"/>
        <v>45992</v>
      </c>
      <c r="D1306">
        <v>4000</v>
      </c>
      <c r="E1306" t="str">
        <f>INDEX(Accounts!$B$2:$B$9,MATCH(D1306,Accounts!$A$2:$A$9,0))</f>
        <v>Product Sales</v>
      </c>
      <c r="F1306" t="str">
        <f>INDEX(Accounts!$C$2:$C$9,MATCH(D1306,Accounts!$A$2:$A$9,0))</f>
        <v>Revenue</v>
      </c>
      <c r="G1306" t="s">
        <v>45</v>
      </c>
      <c r="H1306" t="s">
        <v>42</v>
      </c>
      <c r="I1306">
        <v>134990</v>
      </c>
    </row>
    <row r="1307" spans="1:9" x14ac:dyDescent="0.3">
      <c r="A1307" t="s">
        <v>1715</v>
      </c>
      <c r="B1307" t="s">
        <v>1713</v>
      </c>
      <c r="C1307">
        <f t="shared" si="20"/>
        <v>45992</v>
      </c>
      <c r="D1307">
        <v>4000</v>
      </c>
      <c r="E1307" t="str">
        <f>INDEX(Accounts!$B$2:$B$9,MATCH(D1307,Accounts!$A$2:$A$9,0))</f>
        <v>Product Sales</v>
      </c>
      <c r="F1307" t="str">
        <f>INDEX(Accounts!$C$2:$C$9,MATCH(D1307,Accounts!$A$2:$A$9,0))</f>
        <v>Revenue</v>
      </c>
      <c r="G1307" t="s">
        <v>43</v>
      </c>
      <c r="H1307" t="s">
        <v>46</v>
      </c>
      <c r="I1307">
        <v>103234</v>
      </c>
    </row>
    <row r="1308" spans="1:9" x14ac:dyDescent="0.3">
      <c r="A1308" t="s">
        <v>1716</v>
      </c>
      <c r="B1308" t="s">
        <v>1717</v>
      </c>
      <c r="C1308">
        <f t="shared" si="20"/>
        <v>45992</v>
      </c>
      <c r="D1308">
        <v>4100</v>
      </c>
      <c r="E1308" t="str">
        <f>INDEX(Accounts!$B$2:$B$9,MATCH(D1308,Accounts!$A$2:$A$9,0))</f>
        <v>Sales Returns &amp; Discounts</v>
      </c>
      <c r="F1308" t="str">
        <f>INDEX(Accounts!$C$2:$C$9,MATCH(D1308,Accounts!$A$2:$A$9,0))</f>
        <v>Contra Revenue</v>
      </c>
      <c r="G1308" t="s">
        <v>47</v>
      </c>
      <c r="H1308" t="s">
        <v>46</v>
      </c>
      <c r="I1308">
        <v>2442</v>
      </c>
    </row>
    <row r="1309" spans="1:9" x14ac:dyDescent="0.3">
      <c r="A1309" t="s">
        <v>1718</v>
      </c>
      <c r="B1309" t="s">
        <v>1717</v>
      </c>
      <c r="C1309">
        <f t="shared" si="20"/>
        <v>45992</v>
      </c>
      <c r="D1309">
        <v>5000</v>
      </c>
      <c r="E1309" t="str">
        <f>INDEX(Accounts!$B$2:$B$9,MATCH(D1309,Accounts!$A$2:$A$9,0))</f>
        <v>Cost of Goods Sold</v>
      </c>
      <c r="F1309" t="str">
        <f>INDEX(Accounts!$C$2:$C$9,MATCH(D1309,Accounts!$A$2:$A$9,0))</f>
        <v>COGS</v>
      </c>
      <c r="G1309" t="s">
        <v>41</v>
      </c>
      <c r="H1309" t="s">
        <v>46</v>
      </c>
      <c r="I1309">
        <v>33048</v>
      </c>
    </row>
    <row r="1310" spans="1:9" x14ac:dyDescent="0.3">
      <c r="A1310" t="s">
        <v>1719</v>
      </c>
      <c r="B1310" t="s">
        <v>1717</v>
      </c>
      <c r="C1310">
        <f t="shared" si="20"/>
        <v>45992</v>
      </c>
      <c r="D1310">
        <v>6100</v>
      </c>
      <c r="E1310" t="str">
        <f>INDEX(Accounts!$B$2:$B$9,MATCH(D1310,Accounts!$A$2:$A$9,0))</f>
        <v>Marketing Expense</v>
      </c>
      <c r="F1310" t="str">
        <f>INDEX(Accounts!$C$2:$C$9,MATCH(D1310,Accounts!$A$2:$A$9,0))</f>
        <v>Operating Expense</v>
      </c>
      <c r="G1310" t="s">
        <v>41</v>
      </c>
      <c r="H1310" t="s">
        <v>44</v>
      </c>
      <c r="I1310">
        <v>7299</v>
      </c>
    </row>
    <row r="1311" spans="1:9" x14ac:dyDescent="0.3">
      <c r="A1311" t="s">
        <v>1720</v>
      </c>
      <c r="B1311" t="s">
        <v>1717</v>
      </c>
      <c r="C1311">
        <f t="shared" si="20"/>
        <v>45992</v>
      </c>
      <c r="D1311">
        <v>5000</v>
      </c>
      <c r="E1311" t="str">
        <f>INDEX(Accounts!$B$2:$B$9,MATCH(D1311,Accounts!$A$2:$A$9,0))</f>
        <v>Cost of Goods Sold</v>
      </c>
      <c r="F1311" t="str">
        <f>INDEX(Accounts!$C$2:$C$9,MATCH(D1311,Accounts!$A$2:$A$9,0))</f>
        <v>COGS</v>
      </c>
      <c r="G1311" t="s">
        <v>41</v>
      </c>
      <c r="H1311" t="s">
        <v>46</v>
      </c>
      <c r="I1311">
        <v>50505</v>
      </c>
    </row>
    <row r="1312" spans="1:9" x14ac:dyDescent="0.3">
      <c r="A1312" t="s">
        <v>1721</v>
      </c>
      <c r="B1312" t="s">
        <v>1722</v>
      </c>
      <c r="C1312">
        <f t="shared" si="20"/>
        <v>45992</v>
      </c>
      <c r="D1312">
        <v>6400</v>
      </c>
      <c r="E1312" t="str">
        <f>INDEX(Accounts!$B$2:$B$9,MATCH(D1312,Accounts!$A$2:$A$9,0))</f>
        <v>Software &amp; Admin</v>
      </c>
      <c r="F1312" t="str">
        <f>INDEX(Accounts!$C$2:$C$9,MATCH(D1312,Accounts!$A$2:$A$9,0))</f>
        <v>Operating Expense</v>
      </c>
      <c r="G1312" t="s">
        <v>41</v>
      </c>
      <c r="H1312" t="s">
        <v>46</v>
      </c>
      <c r="I1312">
        <v>3589</v>
      </c>
    </row>
    <row r="1313" spans="1:9" x14ac:dyDescent="0.3">
      <c r="A1313" t="s">
        <v>1723</v>
      </c>
      <c r="B1313" t="s">
        <v>1722</v>
      </c>
      <c r="C1313">
        <f t="shared" si="20"/>
        <v>45992</v>
      </c>
      <c r="D1313">
        <v>6100</v>
      </c>
      <c r="E1313" t="str">
        <f>INDEX(Accounts!$B$2:$B$9,MATCH(D1313,Accounts!$A$2:$A$9,0))</f>
        <v>Marketing Expense</v>
      </c>
      <c r="F1313" t="str">
        <f>INDEX(Accounts!$C$2:$C$9,MATCH(D1313,Accounts!$A$2:$A$9,0))</f>
        <v>Operating Expense</v>
      </c>
      <c r="G1313" t="s">
        <v>41</v>
      </c>
      <c r="H1313" t="s">
        <v>46</v>
      </c>
      <c r="I1313">
        <v>4024</v>
      </c>
    </row>
    <row r="1314" spans="1:9" x14ac:dyDescent="0.3">
      <c r="A1314" t="s">
        <v>1724</v>
      </c>
      <c r="B1314" t="s">
        <v>1722</v>
      </c>
      <c r="C1314">
        <f t="shared" si="20"/>
        <v>45992</v>
      </c>
      <c r="D1314">
        <v>5000</v>
      </c>
      <c r="E1314" t="str">
        <f>INDEX(Accounts!$B$2:$B$9,MATCH(D1314,Accounts!$A$2:$A$9,0))</f>
        <v>Cost of Goods Sold</v>
      </c>
      <c r="F1314" t="str">
        <f>INDEX(Accounts!$C$2:$C$9,MATCH(D1314,Accounts!$A$2:$A$9,0))</f>
        <v>COGS</v>
      </c>
      <c r="G1314" t="s">
        <v>47</v>
      </c>
      <c r="H1314" t="s">
        <v>42</v>
      </c>
      <c r="I1314">
        <v>18624</v>
      </c>
    </row>
    <row r="1315" spans="1:9" x14ac:dyDescent="0.3">
      <c r="A1315" t="s">
        <v>1725</v>
      </c>
      <c r="B1315" t="s">
        <v>1722</v>
      </c>
      <c r="C1315">
        <f t="shared" si="20"/>
        <v>45992</v>
      </c>
      <c r="D1315">
        <v>6000</v>
      </c>
      <c r="E1315" t="str">
        <f>INDEX(Accounts!$B$2:$B$9,MATCH(D1315,Accounts!$A$2:$A$9,0))</f>
        <v>Salaries &amp; Wages</v>
      </c>
      <c r="F1315" t="str">
        <f>INDEX(Accounts!$C$2:$C$9,MATCH(D1315,Accounts!$A$2:$A$9,0))</f>
        <v>Operating Expense</v>
      </c>
      <c r="G1315" t="s">
        <v>48</v>
      </c>
      <c r="H1315" t="s">
        <v>42</v>
      </c>
      <c r="I1315">
        <v>26156</v>
      </c>
    </row>
    <row r="1316" spans="1:9" x14ac:dyDescent="0.3">
      <c r="A1316" t="s">
        <v>1726</v>
      </c>
      <c r="B1316" t="s">
        <v>1722</v>
      </c>
      <c r="C1316">
        <f t="shared" si="20"/>
        <v>45992</v>
      </c>
      <c r="D1316">
        <v>4000</v>
      </c>
      <c r="E1316" t="str">
        <f>INDEX(Accounts!$B$2:$B$9,MATCH(D1316,Accounts!$A$2:$A$9,0))</f>
        <v>Product Sales</v>
      </c>
      <c r="F1316" t="str">
        <f>INDEX(Accounts!$C$2:$C$9,MATCH(D1316,Accounts!$A$2:$A$9,0))</f>
        <v>Revenue</v>
      </c>
      <c r="G1316" t="s">
        <v>43</v>
      </c>
      <c r="H1316" t="s">
        <v>44</v>
      </c>
      <c r="I1316">
        <v>156086</v>
      </c>
    </row>
    <row r="1317" spans="1:9" x14ac:dyDescent="0.3">
      <c r="A1317" t="s">
        <v>1727</v>
      </c>
      <c r="B1317" t="s">
        <v>1728</v>
      </c>
      <c r="C1317">
        <f t="shared" si="20"/>
        <v>45992</v>
      </c>
      <c r="D1317">
        <v>6000</v>
      </c>
      <c r="E1317" t="str">
        <f>INDEX(Accounts!$B$2:$B$9,MATCH(D1317,Accounts!$A$2:$A$9,0))</f>
        <v>Salaries &amp; Wages</v>
      </c>
      <c r="F1317" t="str">
        <f>INDEX(Accounts!$C$2:$C$9,MATCH(D1317,Accounts!$A$2:$A$9,0))</f>
        <v>Operating Expense</v>
      </c>
      <c r="G1317" t="s">
        <v>41</v>
      </c>
      <c r="H1317" t="s">
        <v>42</v>
      </c>
      <c r="I1317">
        <v>16199</v>
      </c>
    </row>
    <row r="1318" spans="1:9" x14ac:dyDescent="0.3">
      <c r="A1318" t="s">
        <v>1729</v>
      </c>
      <c r="B1318" t="s">
        <v>1728</v>
      </c>
      <c r="C1318">
        <f t="shared" si="20"/>
        <v>45992</v>
      </c>
      <c r="D1318">
        <v>5000</v>
      </c>
      <c r="E1318" t="str">
        <f>INDEX(Accounts!$B$2:$B$9,MATCH(D1318,Accounts!$A$2:$A$9,0))</f>
        <v>Cost of Goods Sold</v>
      </c>
      <c r="F1318" t="str">
        <f>INDEX(Accounts!$C$2:$C$9,MATCH(D1318,Accounts!$A$2:$A$9,0))</f>
        <v>COGS</v>
      </c>
      <c r="G1318" t="s">
        <v>45</v>
      </c>
      <c r="H1318" t="s">
        <v>42</v>
      </c>
      <c r="I1318">
        <v>57661</v>
      </c>
    </row>
    <row r="1319" spans="1:9" x14ac:dyDescent="0.3">
      <c r="A1319" t="s">
        <v>1730</v>
      </c>
      <c r="B1319" t="s">
        <v>1728</v>
      </c>
      <c r="C1319">
        <f t="shared" si="20"/>
        <v>45992</v>
      </c>
      <c r="D1319">
        <v>4000</v>
      </c>
      <c r="E1319" t="str">
        <f>INDEX(Accounts!$B$2:$B$9,MATCH(D1319,Accounts!$A$2:$A$9,0))</f>
        <v>Product Sales</v>
      </c>
      <c r="F1319" t="str">
        <f>INDEX(Accounts!$C$2:$C$9,MATCH(D1319,Accounts!$A$2:$A$9,0))</f>
        <v>Revenue</v>
      </c>
      <c r="G1319" t="s">
        <v>43</v>
      </c>
      <c r="H1319" t="s">
        <v>42</v>
      </c>
      <c r="I1319">
        <v>69796</v>
      </c>
    </row>
    <row r="1320" spans="1:9" x14ac:dyDescent="0.3">
      <c r="A1320" t="s">
        <v>1731</v>
      </c>
      <c r="B1320" t="s">
        <v>1728</v>
      </c>
      <c r="C1320">
        <f t="shared" si="20"/>
        <v>45992</v>
      </c>
      <c r="D1320">
        <v>4000</v>
      </c>
      <c r="E1320" t="str">
        <f>INDEX(Accounts!$B$2:$B$9,MATCH(D1320,Accounts!$A$2:$A$9,0))</f>
        <v>Product Sales</v>
      </c>
      <c r="F1320" t="str">
        <f>INDEX(Accounts!$C$2:$C$9,MATCH(D1320,Accounts!$A$2:$A$9,0))</f>
        <v>Revenue</v>
      </c>
      <c r="G1320" t="s">
        <v>41</v>
      </c>
      <c r="H1320" t="s">
        <v>44</v>
      </c>
      <c r="I1320">
        <v>113588</v>
      </c>
    </row>
    <row r="1321" spans="1:9" x14ac:dyDescent="0.3">
      <c r="A1321" t="s">
        <v>1732</v>
      </c>
      <c r="B1321" t="s">
        <v>1728</v>
      </c>
      <c r="C1321">
        <f t="shared" si="20"/>
        <v>45992</v>
      </c>
      <c r="D1321">
        <v>5000</v>
      </c>
      <c r="E1321" t="str">
        <f>INDEX(Accounts!$B$2:$B$9,MATCH(D1321,Accounts!$A$2:$A$9,0))</f>
        <v>Cost of Goods Sold</v>
      </c>
      <c r="F1321" t="str">
        <f>INDEX(Accounts!$C$2:$C$9,MATCH(D1321,Accounts!$A$2:$A$9,0))</f>
        <v>COGS</v>
      </c>
      <c r="G1321" t="s">
        <v>48</v>
      </c>
      <c r="H1321" t="s">
        <v>42</v>
      </c>
      <c r="I1321">
        <v>55485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1"/>
  <sheetViews>
    <sheetView showGridLines="0" workbookViewId="0">
      <selection sqref="A1:E1"/>
    </sheetView>
  </sheetViews>
  <sheetFormatPr defaultRowHeight="14.4" x14ac:dyDescent="0.3"/>
  <cols>
    <col min="1" max="1" width="14" customWidth="1"/>
    <col min="2" max="2" width="15" customWidth="1"/>
    <col min="3" max="3" width="18" customWidth="1"/>
    <col min="4" max="4" width="16" customWidth="1"/>
    <col min="5" max="5" width="18" customWidth="1"/>
  </cols>
  <sheetData>
    <row r="1" spans="1:5" x14ac:dyDescent="0.3">
      <c r="A1" s="69" t="s">
        <v>51</v>
      </c>
      <c r="B1" s="69" t="s">
        <v>19</v>
      </c>
      <c r="C1" s="69" t="s">
        <v>38</v>
      </c>
      <c r="D1" s="69" t="s">
        <v>1733</v>
      </c>
      <c r="E1" s="69" t="s">
        <v>1734</v>
      </c>
    </row>
    <row r="2" spans="1:5" x14ac:dyDescent="0.3">
      <c r="A2" t="s">
        <v>54</v>
      </c>
      <c r="B2">
        <v>4000</v>
      </c>
      <c r="C2" t="s">
        <v>41</v>
      </c>
      <c r="D2">
        <v>163278</v>
      </c>
      <c r="E2" t="str">
        <f>INDEX(Accounts!$C$2:$C$9,MATCH(B2,Accounts!$A$2:$A$9,0))</f>
        <v>Revenue</v>
      </c>
    </row>
    <row r="3" spans="1:5" x14ac:dyDescent="0.3">
      <c r="A3" t="s">
        <v>54</v>
      </c>
      <c r="B3">
        <v>4000</v>
      </c>
      <c r="C3" t="s">
        <v>43</v>
      </c>
      <c r="D3">
        <v>127148</v>
      </c>
      <c r="E3" t="str">
        <f>INDEX(Accounts!$C$2:$C$9,MATCH(B3,Accounts!$A$2:$A$9,0))</f>
        <v>Revenue</v>
      </c>
    </row>
    <row r="4" spans="1:5" x14ac:dyDescent="0.3">
      <c r="A4" t="s">
        <v>54</v>
      </c>
      <c r="B4">
        <v>4000</v>
      </c>
      <c r="C4" t="s">
        <v>45</v>
      </c>
      <c r="D4">
        <v>96287</v>
      </c>
      <c r="E4" t="str">
        <f>INDEX(Accounts!$C$2:$C$9,MATCH(B4,Accounts!$A$2:$A$9,0))</f>
        <v>Revenue</v>
      </c>
    </row>
    <row r="5" spans="1:5" x14ac:dyDescent="0.3">
      <c r="A5" t="s">
        <v>54</v>
      </c>
      <c r="B5">
        <v>4000</v>
      </c>
      <c r="C5" t="s">
        <v>47</v>
      </c>
      <c r="D5">
        <v>66596</v>
      </c>
      <c r="E5" t="str">
        <f>INDEX(Accounts!$C$2:$C$9,MATCH(B5,Accounts!$A$2:$A$9,0))</f>
        <v>Revenue</v>
      </c>
    </row>
    <row r="6" spans="1:5" x14ac:dyDescent="0.3">
      <c r="A6" t="s">
        <v>54</v>
      </c>
      <c r="B6">
        <v>4000</v>
      </c>
      <c r="C6" t="s">
        <v>48</v>
      </c>
      <c r="D6">
        <v>68517</v>
      </c>
      <c r="E6" t="str">
        <f>INDEX(Accounts!$C$2:$C$9,MATCH(B6,Accounts!$A$2:$A$9,0))</f>
        <v>Revenue</v>
      </c>
    </row>
    <row r="7" spans="1:5" x14ac:dyDescent="0.3">
      <c r="A7" t="s">
        <v>54</v>
      </c>
      <c r="B7">
        <v>4100</v>
      </c>
      <c r="C7" t="s">
        <v>41</v>
      </c>
      <c r="D7">
        <v>7886</v>
      </c>
      <c r="E7" t="str">
        <f>INDEX(Accounts!$C$2:$C$9,MATCH(B7,Accounts!$A$2:$A$9,0))</f>
        <v>Contra Revenue</v>
      </c>
    </row>
    <row r="8" spans="1:5" x14ac:dyDescent="0.3">
      <c r="A8" t="s">
        <v>54</v>
      </c>
      <c r="B8">
        <v>4100</v>
      </c>
      <c r="C8" t="s">
        <v>43</v>
      </c>
      <c r="D8">
        <v>6432</v>
      </c>
      <c r="E8" t="str">
        <f>INDEX(Accounts!$C$2:$C$9,MATCH(B8,Accounts!$A$2:$A$9,0))</f>
        <v>Contra Revenue</v>
      </c>
    </row>
    <row r="9" spans="1:5" x14ac:dyDescent="0.3">
      <c r="A9" t="s">
        <v>54</v>
      </c>
      <c r="B9">
        <v>4100</v>
      </c>
      <c r="C9" t="s">
        <v>45</v>
      </c>
      <c r="D9">
        <v>4684</v>
      </c>
      <c r="E9" t="str">
        <f>INDEX(Accounts!$C$2:$C$9,MATCH(B9,Accounts!$A$2:$A$9,0))</f>
        <v>Contra Revenue</v>
      </c>
    </row>
    <row r="10" spans="1:5" x14ac:dyDescent="0.3">
      <c r="A10" t="s">
        <v>54</v>
      </c>
      <c r="B10">
        <v>4100</v>
      </c>
      <c r="C10" t="s">
        <v>47</v>
      </c>
      <c r="D10">
        <v>3469</v>
      </c>
      <c r="E10" t="str">
        <f>INDEX(Accounts!$C$2:$C$9,MATCH(B10,Accounts!$A$2:$A$9,0))</f>
        <v>Contra Revenue</v>
      </c>
    </row>
    <row r="11" spans="1:5" x14ac:dyDescent="0.3">
      <c r="A11" t="s">
        <v>54</v>
      </c>
      <c r="B11">
        <v>4100</v>
      </c>
      <c r="C11" t="s">
        <v>48</v>
      </c>
      <c r="D11">
        <v>3240</v>
      </c>
      <c r="E11" t="str">
        <f>INDEX(Accounts!$C$2:$C$9,MATCH(B11,Accounts!$A$2:$A$9,0))</f>
        <v>Contra Revenue</v>
      </c>
    </row>
    <row r="12" spans="1:5" x14ac:dyDescent="0.3">
      <c r="A12" t="s">
        <v>54</v>
      </c>
      <c r="B12">
        <v>5000</v>
      </c>
      <c r="C12" t="s">
        <v>41</v>
      </c>
      <c r="D12">
        <v>60182</v>
      </c>
      <c r="E12" t="str">
        <f>INDEX(Accounts!$C$2:$C$9,MATCH(B12,Accounts!$A$2:$A$9,0))</f>
        <v>COGS</v>
      </c>
    </row>
    <row r="13" spans="1:5" x14ac:dyDescent="0.3">
      <c r="A13" t="s">
        <v>54</v>
      </c>
      <c r="B13">
        <v>5000</v>
      </c>
      <c r="C13" t="s">
        <v>43</v>
      </c>
      <c r="D13">
        <v>50934</v>
      </c>
      <c r="E13" t="str">
        <f>INDEX(Accounts!$C$2:$C$9,MATCH(B13,Accounts!$A$2:$A$9,0))</f>
        <v>COGS</v>
      </c>
    </row>
    <row r="14" spans="1:5" x14ac:dyDescent="0.3">
      <c r="A14" t="s">
        <v>54</v>
      </c>
      <c r="B14">
        <v>5000</v>
      </c>
      <c r="C14" t="s">
        <v>45</v>
      </c>
      <c r="D14">
        <v>37448</v>
      </c>
      <c r="E14" t="str">
        <f>INDEX(Accounts!$C$2:$C$9,MATCH(B14,Accounts!$A$2:$A$9,0))</f>
        <v>COGS</v>
      </c>
    </row>
    <row r="15" spans="1:5" x14ac:dyDescent="0.3">
      <c r="A15" t="s">
        <v>54</v>
      </c>
      <c r="B15">
        <v>5000</v>
      </c>
      <c r="C15" t="s">
        <v>47</v>
      </c>
      <c r="D15">
        <v>25836</v>
      </c>
      <c r="E15" t="str">
        <f>INDEX(Accounts!$C$2:$C$9,MATCH(B15,Accounts!$A$2:$A$9,0))</f>
        <v>COGS</v>
      </c>
    </row>
    <row r="16" spans="1:5" x14ac:dyDescent="0.3">
      <c r="A16" t="s">
        <v>54</v>
      </c>
      <c r="B16">
        <v>5000</v>
      </c>
      <c r="C16" t="s">
        <v>48</v>
      </c>
      <c r="D16">
        <v>26963</v>
      </c>
      <c r="E16" t="str">
        <f>INDEX(Accounts!$C$2:$C$9,MATCH(B16,Accounts!$A$2:$A$9,0))</f>
        <v>COGS</v>
      </c>
    </row>
    <row r="17" spans="1:5" x14ac:dyDescent="0.3">
      <c r="A17" t="s">
        <v>54</v>
      </c>
      <c r="B17">
        <v>6000</v>
      </c>
      <c r="C17" t="s">
        <v>41</v>
      </c>
      <c r="D17">
        <v>27860</v>
      </c>
      <c r="E17" t="str">
        <f>INDEX(Accounts!$C$2:$C$9,MATCH(B17,Accounts!$A$2:$A$9,0))</f>
        <v>Operating Expense</v>
      </c>
    </row>
    <row r="18" spans="1:5" x14ac:dyDescent="0.3">
      <c r="A18" t="s">
        <v>54</v>
      </c>
      <c r="B18">
        <v>6000</v>
      </c>
      <c r="C18" t="s">
        <v>43</v>
      </c>
      <c r="D18">
        <v>21840</v>
      </c>
      <c r="E18" t="str">
        <f>INDEX(Accounts!$C$2:$C$9,MATCH(B18,Accounts!$A$2:$A$9,0))</f>
        <v>Operating Expense</v>
      </c>
    </row>
    <row r="19" spans="1:5" x14ac:dyDescent="0.3">
      <c r="A19" t="s">
        <v>54</v>
      </c>
      <c r="B19">
        <v>6000</v>
      </c>
      <c r="C19" t="s">
        <v>45</v>
      </c>
      <c r="D19">
        <v>16122</v>
      </c>
      <c r="E19" t="str">
        <f>INDEX(Accounts!$C$2:$C$9,MATCH(B19,Accounts!$A$2:$A$9,0))</f>
        <v>Operating Expense</v>
      </c>
    </row>
    <row r="20" spans="1:5" x14ac:dyDescent="0.3">
      <c r="A20" t="s">
        <v>54</v>
      </c>
      <c r="B20">
        <v>6000</v>
      </c>
      <c r="C20" t="s">
        <v>47</v>
      </c>
      <c r="D20">
        <v>11738</v>
      </c>
      <c r="E20" t="str">
        <f>INDEX(Accounts!$C$2:$C$9,MATCH(B20,Accounts!$A$2:$A$9,0))</f>
        <v>Operating Expense</v>
      </c>
    </row>
    <row r="21" spans="1:5" x14ac:dyDescent="0.3">
      <c r="A21" t="s">
        <v>54</v>
      </c>
      <c r="B21">
        <v>6000</v>
      </c>
      <c r="C21" t="s">
        <v>48</v>
      </c>
      <c r="D21">
        <v>10243</v>
      </c>
      <c r="E21" t="str">
        <f>INDEX(Accounts!$C$2:$C$9,MATCH(B21,Accounts!$A$2:$A$9,0))</f>
        <v>Operating Expense</v>
      </c>
    </row>
    <row r="22" spans="1:5" x14ac:dyDescent="0.3">
      <c r="A22" t="s">
        <v>54</v>
      </c>
      <c r="B22">
        <v>6100</v>
      </c>
      <c r="C22" t="s">
        <v>41</v>
      </c>
      <c r="D22">
        <v>12528</v>
      </c>
      <c r="E22" t="str">
        <f>INDEX(Accounts!$C$2:$C$9,MATCH(B22,Accounts!$A$2:$A$9,0))</f>
        <v>Operating Expense</v>
      </c>
    </row>
    <row r="23" spans="1:5" x14ac:dyDescent="0.3">
      <c r="A23" t="s">
        <v>54</v>
      </c>
      <c r="B23">
        <v>6100</v>
      </c>
      <c r="C23" t="s">
        <v>43</v>
      </c>
      <c r="D23">
        <v>9599</v>
      </c>
      <c r="E23" t="str">
        <f>INDEX(Accounts!$C$2:$C$9,MATCH(B23,Accounts!$A$2:$A$9,0))</f>
        <v>Operating Expense</v>
      </c>
    </row>
    <row r="24" spans="1:5" x14ac:dyDescent="0.3">
      <c r="A24" t="s">
        <v>54</v>
      </c>
      <c r="B24">
        <v>6100</v>
      </c>
      <c r="C24" t="s">
        <v>45</v>
      </c>
      <c r="D24">
        <v>6796</v>
      </c>
      <c r="E24" t="str">
        <f>INDEX(Accounts!$C$2:$C$9,MATCH(B24,Accounts!$A$2:$A$9,0))</f>
        <v>Operating Expense</v>
      </c>
    </row>
    <row r="25" spans="1:5" x14ac:dyDescent="0.3">
      <c r="A25" t="s">
        <v>54</v>
      </c>
      <c r="B25">
        <v>6100</v>
      </c>
      <c r="C25" t="s">
        <v>47</v>
      </c>
      <c r="D25">
        <v>4784</v>
      </c>
      <c r="E25" t="str">
        <f>INDEX(Accounts!$C$2:$C$9,MATCH(B25,Accounts!$A$2:$A$9,0))</f>
        <v>Operating Expense</v>
      </c>
    </row>
    <row r="26" spans="1:5" x14ac:dyDescent="0.3">
      <c r="A26" t="s">
        <v>54</v>
      </c>
      <c r="B26">
        <v>6100</v>
      </c>
      <c r="C26" t="s">
        <v>48</v>
      </c>
      <c r="D26">
        <v>4916</v>
      </c>
      <c r="E26" t="str">
        <f>INDEX(Accounts!$C$2:$C$9,MATCH(B26,Accounts!$A$2:$A$9,0))</f>
        <v>Operating Expense</v>
      </c>
    </row>
    <row r="27" spans="1:5" x14ac:dyDescent="0.3">
      <c r="A27" t="s">
        <v>54</v>
      </c>
      <c r="B27">
        <v>6200</v>
      </c>
      <c r="C27" t="s">
        <v>41</v>
      </c>
      <c r="D27">
        <v>10963</v>
      </c>
      <c r="E27" t="str">
        <f>INDEX(Accounts!$C$2:$C$9,MATCH(B27,Accounts!$A$2:$A$9,0))</f>
        <v>Operating Expense</v>
      </c>
    </row>
    <row r="28" spans="1:5" x14ac:dyDescent="0.3">
      <c r="A28" t="s">
        <v>54</v>
      </c>
      <c r="B28">
        <v>6200</v>
      </c>
      <c r="C28" t="s">
        <v>43</v>
      </c>
      <c r="D28">
        <v>9427</v>
      </c>
      <c r="E28" t="str">
        <f>INDEX(Accounts!$C$2:$C$9,MATCH(B28,Accounts!$A$2:$A$9,0))</f>
        <v>Operating Expense</v>
      </c>
    </row>
    <row r="29" spans="1:5" x14ac:dyDescent="0.3">
      <c r="A29" t="s">
        <v>54</v>
      </c>
      <c r="B29">
        <v>6200</v>
      </c>
      <c r="C29" t="s">
        <v>45</v>
      </c>
      <c r="D29">
        <v>6268</v>
      </c>
      <c r="E29" t="str">
        <f>INDEX(Accounts!$C$2:$C$9,MATCH(B29,Accounts!$A$2:$A$9,0))</f>
        <v>Operating Expense</v>
      </c>
    </row>
    <row r="30" spans="1:5" x14ac:dyDescent="0.3">
      <c r="A30" t="s">
        <v>54</v>
      </c>
      <c r="B30">
        <v>6200</v>
      </c>
      <c r="C30" t="s">
        <v>47</v>
      </c>
      <c r="D30">
        <v>4968</v>
      </c>
      <c r="E30" t="str">
        <f>INDEX(Accounts!$C$2:$C$9,MATCH(B30,Accounts!$A$2:$A$9,0))</f>
        <v>Operating Expense</v>
      </c>
    </row>
    <row r="31" spans="1:5" x14ac:dyDescent="0.3">
      <c r="A31" t="s">
        <v>54</v>
      </c>
      <c r="B31">
        <v>6200</v>
      </c>
      <c r="C31" t="s">
        <v>48</v>
      </c>
      <c r="D31">
        <v>4719</v>
      </c>
      <c r="E31" t="str">
        <f>INDEX(Accounts!$C$2:$C$9,MATCH(B31,Accounts!$A$2:$A$9,0))</f>
        <v>Operating Expense</v>
      </c>
    </row>
    <row r="32" spans="1:5" x14ac:dyDescent="0.3">
      <c r="A32" t="s">
        <v>54</v>
      </c>
      <c r="B32">
        <v>6300</v>
      </c>
      <c r="C32" t="s">
        <v>41</v>
      </c>
      <c r="D32">
        <v>9233</v>
      </c>
      <c r="E32" t="str">
        <f>INDEX(Accounts!$C$2:$C$9,MATCH(B32,Accounts!$A$2:$A$9,0))</f>
        <v>Operating Expense</v>
      </c>
    </row>
    <row r="33" spans="1:5" x14ac:dyDescent="0.3">
      <c r="A33" t="s">
        <v>54</v>
      </c>
      <c r="B33">
        <v>6300</v>
      </c>
      <c r="C33" t="s">
        <v>43</v>
      </c>
      <c r="D33">
        <v>7659</v>
      </c>
      <c r="E33" t="str">
        <f>INDEX(Accounts!$C$2:$C$9,MATCH(B33,Accounts!$A$2:$A$9,0))</f>
        <v>Operating Expense</v>
      </c>
    </row>
    <row r="34" spans="1:5" x14ac:dyDescent="0.3">
      <c r="A34" t="s">
        <v>54</v>
      </c>
      <c r="B34">
        <v>6300</v>
      </c>
      <c r="C34" t="s">
        <v>45</v>
      </c>
      <c r="D34">
        <v>5963</v>
      </c>
      <c r="E34" t="str">
        <f>INDEX(Accounts!$C$2:$C$9,MATCH(B34,Accounts!$A$2:$A$9,0))</f>
        <v>Operating Expense</v>
      </c>
    </row>
    <row r="35" spans="1:5" x14ac:dyDescent="0.3">
      <c r="A35" t="s">
        <v>54</v>
      </c>
      <c r="B35">
        <v>6300</v>
      </c>
      <c r="C35" t="s">
        <v>47</v>
      </c>
      <c r="D35">
        <v>4133</v>
      </c>
      <c r="E35" t="str">
        <f>INDEX(Accounts!$C$2:$C$9,MATCH(B35,Accounts!$A$2:$A$9,0))</f>
        <v>Operating Expense</v>
      </c>
    </row>
    <row r="36" spans="1:5" x14ac:dyDescent="0.3">
      <c r="A36" t="s">
        <v>54</v>
      </c>
      <c r="B36">
        <v>6300</v>
      </c>
      <c r="C36" t="s">
        <v>48</v>
      </c>
      <c r="D36">
        <v>4125</v>
      </c>
      <c r="E36" t="str">
        <f>INDEX(Accounts!$C$2:$C$9,MATCH(B36,Accounts!$A$2:$A$9,0))</f>
        <v>Operating Expense</v>
      </c>
    </row>
    <row r="37" spans="1:5" x14ac:dyDescent="0.3">
      <c r="A37" t="s">
        <v>54</v>
      </c>
      <c r="B37">
        <v>6400</v>
      </c>
      <c r="C37" t="s">
        <v>41</v>
      </c>
      <c r="D37">
        <v>6440</v>
      </c>
      <c r="E37" t="str">
        <f>INDEX(Accounts!$C$2:$C$9,MATCH(B37,Accounts!$A$2:$A$9,0))</f>
        <v>Operating Expense</v>
      </c>
    </row>
    <row r="38" spans="1:5" x14ac:dyDescent="0.3">
      <c r="A38" t="s">
        <v>54</v>
      </c>
      <c r="B38">
        <v>6400</v>
      </c>
      <c r="C38" t="s">
        <v>43</v>
      </c>
      <c r="D38">
        <v>5691</v>
      </c>
      <c r="E38" t="str">
        <f>INDEX(Accounts!$C$2:$C$9,MATCH(B38,Accounts!$A$2:$A$9,0))</f>
        <v>Operating Expense</v>
      </c>
    </row>
    <row r="39" spans="1:5" x14ac:dyDescent="0.3">
      <c r="A39" t="s">
        <v>54</v>
      </c>
      <c r="B39">
        <v>6400</v>
      </c>
      <c r="C39" t="s">
        <v>45</v>
      </c>
      <c r="D39">
        <v>3952</v>
      </c>
      <c r="E39" t="str">
        <f>INDEX(Accounts!$C$2:$C$9,MATCH(B39,Accounts!$A$2:$A$9,0))</f>
        <v>Operating Expense</v>
      </c>
    </row>
    <row r="40" spans="1:5" x14ac:dyDescent="0.3">
      <c r="A40" t="s">
        <v>54</v>
      </c>
      <c r="B40">
        <v>6400</v>
      </c>
      <c r="C40" t="s">
        <v>47</v>
      </c>
      <c r="D40">
        <v>2848</v>
      </c>
      <c r="E40" t="str">
        <f>INDEX(Accounts!$C$2:$C$9,MATCH(B40,Accounts!$A$2:$A$9,0))</f>
        <v>Operating Expense</v>
      </c>
    </row>
    <row r="41" spans="1:5" x14ac:dyDescent="0.3">
      <c r="A41" t="s">
        <v>54</v>
      </c>
      <c r="B41">
        <v>6400</v>
      </c>
      <c r="C41" t="s">
        <v>48</v>
      </c>
      <c r="D41">
        <v>2422</v>
      </c>
      <c r="E41" t="str">
        <f>INDEX(Accounts!$C$2:$C$9,MATCH(B41,Accounts!$A$2:$A$9,0))</f>
        <v>Operating Expense</v>
      </c>
    </row>
    <row r="42" spans="1:5" x14ac:dyDescent="0.3">
      <c r="A42" t="s">
        <v>195</v>
      </c>
      <c r="B42">
        <v>4000</v>
      </c>
      <c r="C42" t="s">
        <v>41</v>
      </c>
      <c r="D42">
        <v>168725</v>
      </c>
      <c r="E42" t="str">
        <f>INDEX(Accounts!$C$2:$C$9,MATCH(B42,Accounts!$A$2:$A$9,0))</f>
        <v>Revenue</v>
      </c>
    </row>
    <row r="43" spans="1:5" x14ac:dyDescent="0.3">
      <c r="A43" t="s">
        <v>195</v>
      </c>
      <c r="B43">
        <v>4000</v>
      </c>
      <c r="C43" t="s">
        <v>43</v>
      </c>
      <c r="D43">
        <v>138710</v>
      </c>
      <c r="E43" t="str">
        <f>INDEX(Accounts!$C$2:$C$9,MATCH(B43,Accounts!$A$2:$A$9,0))</f>
        <v>Revenue</v>
      </c>
    </row>
    <row r="44" spans="1:5" x14ac:dyDescent="0.3">
      <c r="A44" t="s">
        <v>195</v>
      </c>
      <c r="B44">
        <v>4000</v>
      </c>
      <c r="C44" t="s">
        <v>45</v>
      </c>
      <c r="D44">
        <v>98212</v>
      </c>
      <c r="E44" t="str">
        <f>INDEX(Accounts!$C$2:$C$9,MATCH(B44,Accounts!$A$2:$A$9,0))</f>
        <v>Revenue</v>
      </c>
    </row>
    <row r="45" spans="1:5" x14ac:dyDescent="0.3">
      <c r="A45" t="s">
        <v>195</v>
      </c>
      <c r="B45">
        <v>4000</v>
      </c>
      <c r="C45" t="s">
        <v>47</v>
      </c>
      <c r="D45">
        <v>69944</v>
      </c>
      <c r="E45" t="str">
        <f>INDEX(Accounts!$C$2:$C$9,MATCH(B45,Accounts!$A$2:$A$9,0))</f>
        <v>Revenue</v>
      </c>
    </row>
    <row r="46" spans="1:5" x14ac:dyDescent="0.3">
      <c r="A46" t="s">
        <v>195</v>
      </c>
      <c r="B46">
        <v>4000</v>
      </c>
      <c r="C46" t="s">
        <v>48</v>
      </c>
      <c r="D46">
        <v>69638</v>
      </c>
      <c r="E46" t="str">
        <f>INDEX(Accounts!$C$2:$C$9,MATCH(B46,Accounts!$A$2:$A$9,0))</f>
        <v>Revenue</v>
      </c>
    </row>
    <row r="47" spans="1:5" x14ac:dyDescent="0.3">
      <c r="A47" t="s">
        <v>195</v>
      </c>
      <c r="B47">
        <v>4100</v>
      </c>
      <c r="C47" t="s">
        <v>41</v>
      </c>
      <c r="D47">
        <v>8663</v>
      </c>
      <c r="E47" t="str">
        <f>INDEX(Accounts!$C$2:$C$9,MATCH(B47,Accounts!$A$2:$A$9,0))</f>
        <v>Contra Revenue</v>
      </c>
    </row>
    <row r="48" spans="1:5" x14ac:dyDescent="0.3">
      <c r="A48" t="s">
        <v>195</v>
      </c>
      <c r="B48">
        <v>4100</v>
      </c>
      <c r="C48" t="s">
        <v>43</v>
      </c>
      <c r="D48">
        <v>6842</v>
      </c>
      <c r="E48" t="str">
        <f>INDEX(Accounts!$C$2:$C$9,MATCH(B48,Accounts!$A$2:$A$9,0))</f>
        <v>Contra Revenue</v>
      </c>
    </row>
    <row r="49" spans="1:5" x14ac:dyDescent="0.3">
      <c r="A49" t="s">
        <v>195</v>
      </c>
      <c r="B49">
        <v>4100</v>
      </c>
      <c r="C49" t="s">
        <v>45</v>
      </c>
      <c r="D49">
        <v>4529</v>
      </c>
      <c r="E49" t="str">
        <f>INDEX(Accounts!$C$2:$C$9,MATCH(B49,Accounts!$A$2:$A$9,0))</f>
        <v>Contra Revenue</v>
      </c>
    </row>
    <row r="50" spans="1:5" x14ac:dyDescent="0.3">
      <c r="A50" t="s">
        <v>195</v>
      </c>
      <c r="B50">
        <v>4100</v>
      </c>
      <c r="C50" t="s">
        <v>47</v>
      </c>
      <c r="D50">
        <v>3857</v>
      </c>
      <c r="E50" t="str">
        <f>INDEX(Accounts!$C$2:$C$9,MATCH(B50,Accounts!$A$2:$A$9,0))</f>
        <v>Contra Revenue</v>
      </c>
    </row>
    <row r="51" spans="1:5" x14ac:dyDescent="0.3">
      <c r="A51" t="s">
        <v>195</v>
      </c>
      <c r="B51">
        <v>4100</v>
      </c>
      <c r="C51" t="s">
        <v>48</v>
      </c>
      <c r="D51">
        <v>3583</v>
      </c>
      <c r="E51" t="str">
        <f>INDEX(Accounts!$C$2:$C$9,MATCH(B51,Accounts!$A$2:$A$9,0))</f>
        <v>Contra Revenue</v>
      </c>
    </row>
    <row r="52" spans="1:5" x14ac:dyDescent="0.3">
      <c r="A52" t="s">
        <v>195</v>
      </c>
      <c r="B52">
        <v>5000</v>
      </c>
      <c r="C52" t="s">
        <v>41</v>
      </c>
      <c r="D52">
        <v>65196</v>
      </c>
      <c r="E52" t="str">
        <f>INDEX(Accounts!$C$2:$C$9,MATCH(B52,Accounts!$A$2:$A$9,0))</f>
        <v>COGS</v>
      </c>
    </row>
    <row r="53" spans="1:5" x14ac:dyDescent="0.3">
      <c r="A53" t="s">
        <v>195</v>
      </c>
      <c r="B53">
        <v>5000</v>
      </c>
      <c r="C53" t="s">
        <v>43</v>
      </c>
      <c r="D53">
        <v>54612</v>
      </c>
      <c r="E53" t="str">
        <f>INDEX(Accounts!$C$2:$C$9,MATCH(B53,Accounts!$A$2:$A$9,0))</f>
        <v>COGS</v>
      </c>
    </row>
    <row r="54" spans="1:5" x14ac:dyDescent="0.3">
      <c r="A54" t="s">
        <v>195</v>
      </c>
      <c r="B54">
        <v>5000</v>
      </c>
      <c r="C54" t="s">
        <v>45</v>
      </c>
      <c r="D54">
        <v>40973</v>
      </c>
      <c r="E54" t="str">
        <f>INDEX(Accounts!$C$2:$C$9,MATCH(B54,Accounts!$A$2:$A$9,0))</f>
        <v>COGS</v>
      </c>
    </row>
    <row r="55" spans="1:5" x14ac:dyDescent="0.3">
      <c r="A55" t="s">
        <v>195</v>
      </c>
      <c r="B55">
        <v>5000</v>
      </c>
      <c r="C55" t="s">
        <v>47</v>
      </c>
      <c r="D55">
        <v>30209</v>
      </c>
      <c r="E55" t="str">
        <f>INDEX(Accounts!$C$2:$C$9,MATCH(B55,Accounts!$A$2:$A$9,0))</f>
        <v>COGS</v>
      </c>
    </row>
    <row r="56" spans="1:5" x14ac:dyDescent="0.3">
      <c r="A56" t="s">
        <v>195</v>
      </c>
      <c r="B56">
        <v>5000</v>
      </c>
      <c r="C56" t="s">
        <v>48</v>
      </c>
      <c r="D56">
        <v>26062</v>
      </c>
      <c r="E56" t="str">
        <f>INDEX(Accounts!$C$2:$C$9,MATCH(B56,Accounts!$A$2:$A$9,0))</f>
        <v>COGS</v>
      </c>
    </row>
    <row r="57" spans="1:5" x14ac:dyDescent="0.3">
      <c r="A57" t="s">
        <v>195</v>
      </c>
      <c r="B57">
        <v>6000</v>
      </c>
      <c r="C57" t="s">
        <v>41</v>
      </c>
      <c r="D57">
        <v>26152</v>
      </c>
      <c r="E57" t="str">
        <f>INDEX(Accounts!$C$2:$C$9,MATCH(B57,Accounts!$A$2:$A$9,0))</f>
        <v>Operating Expense</v>
      </c>
    </row>
    <row r="58" spans="1:5" x14ac:dyDescent="0.3">
      <c r="A58" t="s">
        <v>195</v>
      </c>
      <c r="B58">
        <v>6000</v>
      </c>
      <c r="C58" t="s">
        <v>43</v>
      </c>
      <c r="D58">
        <v>21927</v>
      </c>
      <c r="E58" t="str">
        <f>INDEX(Accounts!$C$2:$C$9,MATCH(B58,Accounts!$A$2:$A$9,0))</f>
        <v>Operating Expense</v>
      </c>
    </row>
    <row r="59" spans="1:5" x14ac:dyDescent="0.3">
      <c r="A59" t="s">
        <v>195</v>
      </c>
      <c r="B59">
        <v>6000</v>
      </c>
      <c r="C59" t="s">
        <v>45</v>
      </c>
      <c r="D59">
        <v>17976</v>
      </c>
      <c r="E59" t="str">
        <f>INDEX(Accounts!$C$2:$C$9,MATCH(B59,Accounts!$A$2:$A$9,0))</f>
        <v>Operating Expense</v>
      </c>
    </row>
    <row r="60" spans="1:5" x14ac:dyDescent="0.3">
      <c r="A60" t="s">
        <v>195</v>
      </c>
      <c r="B60">
        <v>6000</v>
      </c>
      <c r="C60" t="s">
        <v>47</v>
      </c>
      <c r="D60">
        <v>12532</v>
      </c>
      <c r="E60" t="str">
        <f>INDEX(Accounts!$C$2:$C$9,MATCH(B60,Accounts!$A$2:$A$9,0))</f>
        <v>Operating Expense</v>
      </c>
    </row>
    <row r="61" spans="1:5" x14ac:dyDescent="0.3">
      <c r="A61" t="s">
        <v>195</v>
      </c>
      <c r="B61">
        <v>6000</v>
      </c>
      <c r="C61" t="s">
        <v>48</v>
      </c>
      <c r="D61">
        <v>12109</v>
      </c>
      <c r="E61" t="str">
        <f>INDEX(Accounts!$C$2:$C$9,MATCH(B61,Accounts!$A$2:$A$9,0))</f>
        <v>Operating Expense</v>
      </c>
    </row>
    <row r="62" spans="1:5" x14ac:dyDescent="0.3">
      <c r="A62" t="s">
        <v>195</v>
      </c>
      <c r="B62">
        <v>6100</v>
      </c>
      <c r="C62" t="s">
        <v>41</v>
      </c>
      <c r="D62">
        <v>11712</v>
      </c>
      <c r="E62" t="str">
        <f>INDEX(Accounts!$C$2:$C$9,MATCH(B62,Accounts!$A$2:$A$9,0))</f>
        <v>Operating Expense</v>
      </c>
    </row>
    <row r="63" spans="1:5" x14ac:dyDescent="0.3">
      <c r="A63" t="s">
        <v>195</v>
      </c>
      <c r="B63">
        <v>6100</v>
      </c>
      <c r="C63" t="s">
        <v>43</v>
      </c>
      <c r="D63">
        <v>10513</v>
      </c>
      <c r="E63" t="str">
        <f>INDEX(Accounts!$C$2:$C$9,MATCH(B63,Accounts!$A$2:$A$9,0))</f>
        <v>Operating Expense</v>
      </c>
    </row>
    <row r="64" spans="1:5" x14ac:dyDescent="0.3">
      <c r="A64" t="s">
        <v>195</v>
      </c>
      <c r="B64">
        <v>6100</v>
      </c>
      <c r="C64" t="s">
        <v>45</v>
      </c>
      <c r="D64">
        <v>7455</v>
      </c>
      <c r="E64" t="str">
        <f>INDEX(Accounts!$C$2:$C$9,MATCH(B64,Accounts!$A$2:$A$9,0))</f>
        <v>Operating Expense</v>
      </c>
    </row>
    <row r="65" spans="1:5" x14ac:dyDescent="0.3">
      <c r="A65" t="s">
        <v>195</v>
      </c>
      <c r="B65">
        <v>6100</v>
      </c>
      <c r="C65" t="s">
        <v>47</v>
      </c>
      <c r="D65">
        <v>5609</v>
      </c>
      <c r="E65" t="str">
        <f>INDEX(Accounts!$C$2:$C$9,MATCH(B65,Accounts!$A$2:$A$9,0))</f>
        <v>Operating Expense</v>
      </c>
    </row>
    <row r="66" spans="1:5" x14ac:dyDescent="0.3">
      <c r="A66" t="s">
        <v>195</v>
      </c>
      <c r="B66">
        <v>6100</v>
      </c>
      <c r="C66" t="s">
        <v>48</v>
      </c>
      <c r="D66">
        <v>5197</v>
      </c>
      <c r="E66" t="str">
        <f>INDEX(Accounts!$C$2:$C$9,MATCH(B66,Accounts!$A$2:$A$9,0))</f>
        <v>Operating Expense</v>
      </c>
    </row>
    <row r="67" spans="1:5" x14ac:dyDescent="0.3">
      <c r="A67" t="s">
        <v>195</v>
      </c>
      <c r="B67">
        <v>6200</v>
      </c>
      <c r="C67" t="s">
        <v>41</v>
      </c>
      <c r="D67">
        <v>11247</v>
      </c>
      <c r="E67" t="str">
        <f>INDEX(Accounts!$C$2:$C$9,MATCH(B67,Accounts!$A$2:$A$9,0))</f>
        <v>Operating Expense</v>
      </c>
    </row>
    <row r="68" spans="1:5" x14ac:dyDescent="0.3">
      <c r="A68" t="s">
        <v>195</v>
      </c>
      <c r="B68">
        <v>6200</v>
      </c>
      <c r="C68" t="s">
        <v>43</v>
      </c>
      <c r="D68">
        <v>8568</v>
      </c>
      <c r="E68" t="str">
        <f>INDEX(Accounts!$C$2:$C$9,MATCH(B68,Accounts!$A$2:$A$9,0))</f>
        <v>Operating Expense</v>
      </c>
    </row>
    <row r="69" spans="1:5" x14ac:dyDescent="0.3">
      <c r="A69" t="s">
        <v>195</v>
      </c>
      <c r="B69">
        <v>6200</v>
      </c>
      <c r="C69" t="s">
        <v>45</v>
      </c>
      <c r="D69">
        <v>6781</v>
      </c>
      <c r="E69" t="str">
        <f>INDEX(Accounts!$C$2:$C$9,MATCH(B69,Accounts!$A$2:$A$9,0))</f>
        <v>Operating Expense</v>
      </c>
    </row>
    <row r="70" spans="1:5" x14ac:dyDescent="0.3">
      <c r="A70" t="s">
        <v>195</v>
      </c>
      <c r="B70">
        <v>6200</v>
      </c>
      <c r="C70" t="s">
        <v>47</v>
      </c>
      <c r="D70">
        <v>4838</v>
      </c>
      <c r="E70" t="str">
        <f>INDEX(Accounts!$C$2:$C$9,MATCH(B70,Accounts!$A$2:$A$9,0))</f>
        <v>Operating Expense</v>
      </c>
    </row>
    <row r="71" spans="1:5" x14ac:dyDescent="0.3">
      <c r="A71" t="s">
        <v>195</v>
      </c>
      <c r="B71">
        <v>6200</v>
      </c>
      <c r="C71" t="s">
        <v>48</v>
      </c>
      <c r="D71">
        <v>4507</v>
      </c>
      <c r="E71" t="str">
        <f>INDEX(Accounts!$C$2:$C$9,MATCH(B71,Accounts!$A$2:$A$9,0))</f>
        <v>Operating Expense</v>
      </c>
    </row>
    <row r="72" spans="1:5" x14ac:dyDescent="0.3">
      <c r="A72" t="s">
        <v>195</v>
      </c>
      <c r="B72">
        <v>6300</v>
      </c>
      <c r="C72" t="s">
        <v>41</v>
      </c>
      <c r="D72">
        <v>9376</v>
      </c>
      <c r="E72" t="str">
        <f>INDEX(Accounts!$C$2:$C$9,MATCH(B72,Accounts!$A$2:$A$9,0))</f>
        <v>Operating Expense</v>
      </c>
    </row>
    <row r="73" spans="1:5" x14ac:dyDescent="0.3">
      <c r="A73" t="s">
        <v>195</v>
      </c>
      <c r="B73">
        <v>6300</v>
      </c>
      <c r="C73" t="s">
        <v>43</v>
      </c>
      <c r="D73">
        <v>8979</v>
      </c>
      <c r="E73" t="str">
        <f>INDEX(Accounts!$C$2:$C$9,MATCH(B73,Accounts!$A$2:$A$9,0))</f>
        <v>Operating Expense</v>
      </c>
    </row>
    <row r="74" spans="1:5" x14ac:dyDescent="0.3">
      <c r="A74" t="s">
        <v>195</v>
      </c>
      <c r="B74">
        <v>6300</v>
      </c>
      <c r="C74" t="s">
        <v>45</v>
      </c>
      <c r="D74">
        <v>6198</v>
      </c>
      <c r="E74" t="str">
        <f>INDEX(Accounts!$C$2:$C$9,MATCH(B74,Accounts!$A$2:$A$9,0))</f>
        <v>Operating Expense</v>
      </c>
    </row>
    <row r="75" spans="1:5" x14ac:dyDescent="0.3">
      <c r="A75" t="s">
        <v>195</v>
      </c>
      <c r="B75">
        <v>6300</v>
      </c>
      <c r="C75" t="s">
        <v>47</v>
      </c>
      <c r="D75">
        <v>4083</v>
      </c>
      <c r="E75" t="str">
        <f>INDEX(Accounts!$C$2:$C$9,MATCH(B75,Accounts!$A$2:$A$9,0))</f>
        <v>Operating Expense</v>
      </c>
    </row>
    <row r="76" spans="1:5" x14ac:dyDescent="0.3">
      <c r="A76" t="s">
        <v>195</v>
      </c>
      <c r="B76">
        <v>6300</v>
      </c>
      <c r="C76" t="s">
        <v>48</v>
      </c>
      <c r="D76">
        <v>3691</v>
      </c>
      <c r="E76" t="str">
        <f>INDEX(Accounts!$C$2:$C$9,MATCH(B76,Accounts!$A$2:$A$9,0))</f>
        <v>Operating Expense</v>
      </c>
    </row>
    <row r="77" spans="1:5" x14ac:dyDescent="0.3">
      <c r="A77" t="s">
        <v>195</v>
      </c>
      <c r="B77">
        <v>6400</v>
      </c>
      <c r="C77" t="s">
        <v>41</v>
      </c>
      <c r="D77">
        <v>6749</v>
      </c>
      <c r="E77" t="str">
        <f>INDEX(Accounts!$C$2:$C$9,MATCH(B77,Accounts!$A$2:$A$9,0))</f>
        <v>Operating Expense</v>
      </c>
    </row>
    <row r="78" spans="1:5" x14ac:dyDescent="0.3">
      <c r="A78" t="s">
        <v>195</v>
      </c>
      <c r="B78">
        <v>6400</v>
      </c>
      <c r="C78" t="s">
        <v>43</v>
      </c>
      <c r="D78">
        <v>5645</v>
      </c>
      <c r="E78" t="str">
        <f>INDEX(Accounts!$C$2:$C$9,MATCH(B78,Accounts!$A$2:$A$9,0))</f>
        <v>Operating Expense</v>
      </c>
    </row>
    <row r="79" spans="1:5" x14ac:dyDescent="0.3">
      <c r="A79" t="s">
        <v>195</v>
      </c>
      <c r="B79">
        <v>6400</v>
      </c>
      <c r="C79" t="s">
        <v>45</v>
      </c>
      <c r="D79">
        <v>3644</v>
      </c>
      <c r="E79" t="str">
        <f>INDEX(Accounts!$C$2:$C$9,MATCH(B79,Accounts!$A$2:$A$9,0))</f>
        <v>Operating Expense</v>
      </c>
    </row>
    <row r="80" spans="1:5" x14ac:dyDescent="0.3">
      <c r="A80" t="s">
        <v>195</v>
      </c>
      <c r="B80">
        <v>6400</v>
      </c>
      <c r="C80" t="s">
        <v>47</v>
      </c>
      <c r="D80">
        <v>2868</v>
      </c>
      <c r="E80" t="str">
        <f>INDEX(Accounts!$C$2:$C$9,MATCH(B80,Accounts!$A$2:$A$9,0))</f>
        <v>Operating Expense</v>
      </c>
    </row>
    <row r="81" spans="1:5" x14ac:dyDescent="0.3">
      <c r="A81" t="s">
        <v>195</v>
      </c>
      <c r="B81">
        <v>6400</v>
      </c>
      <c r="C81" t="s">
        <v>48</v>
      </c>
      <c r="D81">
        <v>2686</v>
      </c>
      <c r="E81" t="str">
        <f>INDEX(Accounts!$C$2:$C$9,MATCH(B81,Accounts!$A$2:$A$9,0))</f>
        <v>Operating Expense</v>
      </c>
    </row>
    <row r="82" spans="1:5" x14ac:dyDescent="0.3">
      <c r="A82" t="s">
        <v>332</v>
      </c>
      <c r="B82">
        <v>4000</v>
      </c>
      <c r="C82" t="s">
        <v>41</v>
      </c>
      <c r="D82">
        <v>158938</v>
      </c>
      <c r="E82" t="str">
        <f>INDEX(Accounts!$C$2:$C$9,MATCH(B82,Accounts!$A$2:$A$9,0))</f>
        <v>Revenue</v>
      </c>
    </row>
    <row r="83" spans="1:5" x14ac:dyDescent="0.3">
      <c r="A83" t="s">
        <v>332</v>
      </c>
      <c r="B83">
        <v>4000</v>
      </c>
      <c r="C83" t="s">
        <v>43</v>
      </c>
      <c r="D83">
        <v>129699</v>
      </c>
      <c r="E83" t="str">
        <f>INDEX(Accounts!$C$2:$C$9,MATCH(B83,Accounts!$A$2:$A$9,0))</f>
        <v>Revenue</v>
      </c>
    </row>
    <row r="84" spans="1:5" x14ac:dyDescent="0.3">
      <c r="A84" t="s">
        <v>332</v>
      </c>
      <c r="B84">
        <v>4000</v>
      </c>
      <c r="C84" t="s">
        <v>45</v>
      </c>
      <c r="D84">
        <v>92902</v>
      </c>
      <c r="E84" t="str">
        <f>INDEX(Accounts!$C$2:$C$9,MATCH(B84,Accounts!$A$2:$A$9,0))</f>
        <v>Revenue</v>
      </c>
    </row>
    <row r="85" spans="1:5" x14ac:dyDescent="0.3">
      <c r="A85" t="s">
        <v>332</v>
      </c>
      <c r="B85">
        <v>4000</v>
      </c>
      <c r="C85" t="s">
        <v>47</v>
      </c>
      <c r="D85">
        <v>71266</v>
      </c>
      <c r="E85" t="str">
        <f>INDEX(Accounts!$C$2:$C$9,MATCH(B85,Accounts!$A$2:$A$9,0))</f>
        <v>Revenue</v>
      </c>
    </row>
    <row r="86" spans="1:5" x14ac:dyDescent="0.3">
      <c r="A86" t="s">
        <v>332</v>
      </c>
      <c r="B86">
        <v>4000</v>
      </c>
      <c r="C86" t="s">
        <v>48</v>
      </c>
      <c r="D86">
        <v>63784</v>
      </c>
      <c r="E86" t="str">
        <f>INDEX(Accounts!$C$2:$C$9,MATCH(B86,Accounts!$A$2:$A$9,0))</f>
        <v>Revenue</v>
      </c>
    </row>
    <row r="87" spans="1:5" x14ac:dyDescent="0.3">
      <c r="A87" t="s">
        <v>332</v>
      </c>
      <c r="B87">
        <v>4100</v>
      </c>
      <c r="C87" t="s">
        <v>41</v>
      </c>
      <c r="D87">
        <v>9053</v>
      </c>
      <c r="E87" t="str">
        <f>INDEX(Accounts!$C$2:$C$9,MATCH(B87,Accounts!$A$2:$A$9,0))</f>
        <v>Contra Revenue</v>
      </c>
    </row>
    <row r="88" spans="1:5" x14ac:dyDescent="0.3">
      <c r="A88" t="s">
        <v>332</v>
      </c>
      <c r="B88">
        <v>4100</v>
      </c>
      <c r="C88" t="s">
        <v>43</v>
      </c>
      <c r="D88">
        <v>6719</v>
      </c>
      <c r="E88" t="str">
        <f>INDEX(Accounts!$C$2:$C$9,MATCH(B88,Accounts!$A$2:$A$9,0))</f>
        <v>Contra Revenue</v>
      </c>
    </row>
    <row r="89" spans="1:5" x14ac:dyDescent="0.3">
      <c r="A89" t="s">
        <v>332</v>
      </c>
      <c r="B89">
        <v>4100</v>
      </c>
      <c r="C89" t="s">
        <v>45</v>
      </c>
      <c r="D89">
        <v>4753</v>
      </c>
      <c r="E89" t="str">
        <f>INDEX(Accounts!$C$2:$C$9,MATCH(B89,Accounts!$A$2:$A$9,0))</f>
        <v>Contra Revenue</v>
      </c>
    </row>
    <row r="90" spans="1:5" x14ac:dyDescent="0.3">
      <c r="A90" t="s">
        <v>332</v>
      </c>
      <c r="B90">
        <v>4100</v>
      </c>
      <c r="C90" t="s">
        <v>47</v>
      </c>
      <c r="D90">
        <v>3858</v>
      </c>
      <c r="E90" t="str">
        <f>INDEX(Accounts!$C$2:$C$9,MATCH(B90,Accounts!$A$2:$A$9,0))</f>
        <v>Contra Revenue</v>
      </c>
    </row>
    <row r="91" spans="1:5" x14ac:dyDescent="0.3">
      <c r="A91" t="s">
        <v>332</v>
      </c>
      <c r="B91">
        <v>4100</v>
      </c>
      <c r="C91" t="s">
        <v>48</v>
      </c>
      <c r="D91">
        <v>3348</v>
      </c>
      <c r="E91" t="str">
        <f>INDEX(Accounts!$C$2:$C$9,MATCH(B91,Accounts!$A$2:$A$9,0))</f>
        <v>Contra Revenue</v>
      </c>
    </row>
    <row r="92" spans="1:5" x14ac:dyDescent="0.3">
      <c r="A92" t="s">
        <v>332</v>
      </c>
      <c r="B92">
        <v>5000</v>
      </c>
      <c r="C92" t="s">
        <v>41</v>
      </c>
      <c r="D92">
        <v>69716</v>
      </c>
      <c r="E92" t="str">
        <f>INDEX(Accounts!$C$2:$C$9,MATCH(B92,Accounts!$A$2:$A$9,0))</f>
        <v>COGS</v>
      </c>
    </row>
    <row r="93" spans="1:5" x14ac:dyDescent="0.3">
      <c r="A93" t="s">
        <v>332</v>
      </c>
      <c r="B93">
        <v>5000</v>
      </c>
      <c r="C93" t="s">
        <v>43</v>
      </c>
      <c r="D93">
        <v>54369</v>
      </c>
      <c r="E93" t="str">
        <f>INDEX(Accounts!$C$2:$C$9,MATCH(B93,Accounts!$A$2:$A$9,0))</f>
        <v>COGS</v>
      </c>
    </row>
    <row r="94" spans="1:5" x14ac:dyDescent="0.3">
      <c r="A94" t="s">
        <v>332</v>
      </c>
      <c r="B94">
        <v>5000</v>
      </c>
      <c r="C94" t="s">
        <v>45</v>
      </c>
      <c r="D94">
        <v>41855</v>
      </c>
      <c r="E94" t="str">
        <f>INDEX(Accounts!$C$2:$C$9,MATCH(B94,Accounts!$A$2:$A$9,0))</f>
        <v>COGS</v>
      </c>
    </row>
    <row r="95" spans="1:5" x14ac:dyDescent="0.3">
      <c r="A95" t="s">
        <v>332</v>
      </c>
      <c r="B95">
        <v>5000</v>
      </c>
      <c r="C95" t="s">
        <v>47</v>
      </c>
      <c r="D95">
        <v>29166</v>
      </c>
      <c r="E95" t="str">
        <f>INDEX(Accounts!$C$2:$C$9,MATCH(B95,Accounts!$A$2:$A$9,0))</f>
        <v>COGS</v>
      </c>
    </row>
    <row r="96" spans="1:5" x14ac:dyDescent="0.3">
      <c r="A96" t="s">
        <v>332</v>
      </c>
      <c r="B96">
        <v>5000</v>
      </c>
      <c r="C96" t="s">
        <v>48</v>
      </c>
      <c r="D96">
        <v>24751</v>
      </c>
      <c r="E96" t="str">
        <f>INDEX(Accounts!$C$2:$C$9,MATCH(B96,Accounts!$A$2:$A$9,0))</f>
        <v>COGS</v>
      </c>
    </row>
    <row r="97" spans="1:5" x14ac:dyDescent="0.3">
      <c r="A97" t="s">
        <v>332</v>
      </c>
      <c r="B97">
        <v>6000</v>
      </c>
      <c r="C97" t="s">
        <v>41</v>
      </c>
      <c r="D97">
        <v>28759</v>
      </c>
      <c r="E97" t="str">
        <f>INDEX(Accounts!$C$2:$C$9,MATCH(B97,Accounts!$A$2:$A$9,0))</f>
        <v>Operating Expense</v>
      </c>
    </row>
    <row r="98" spans="1:5" x14ac:dyDescent="0.3">
      <c r="A98" t="s">
        <v>332</v>
      </c>
      <c r="B98">
        <v>6000</v>
      </c>
      <c r="C98" t="s">
        <v>43</v>
      </c>
      <c r="D98">
        <v>21186</v>
      </c>
      <c r="E98" t="str">
        <f>INDEX(Accounts!$C$2:$C$9,MATCH(B98,Accounts!$A$2:$A$9,0))</f>
        <v>Operating Expense</v>
      </c>
    </row>
    <row r="99" spans="1:5" x14ac:dyDescent="0.3">
      <c r="A99" t="s">
        <v>332</v>
      </c>
      <c r="B99">
        <v>6000</v>
      </c>
      <c r="C99" t="s">
        <v>45</v>
      </c>
      <c r="D99">
        <v>18229</v>
      </c>
      <c r="E99" t="str">
        <f>INDEX(Accounts!$C$2:$C$9,MATCH(B99,Accounts!$A$2:$A$9,0))</f>
        <v>Operating Expense</v>
      </c>
    </row>
    <row r="100" spans="1:5" x14ac:dyDescent="0.3">
      <c r="A100" t="s">
        <v>332</v>
      </c>
      <c r="B100">
        <v>6000</v>
      </c>
      <c r="C100" t="s">
        <v>47</v>
      </c>
      <c r="D100">
        <v>12418</v>
      </c>
      <c r="E100" t="str">
        <f>INDEX(Accounts!$C$2:$C$9,MATCH(B100,Accounts!$A$2:$A$9,0))</f>
        <v>Operating Expense</v>
      </c>
    </row>
    <row r="101" spans="1:5" x14ac:dyDescent="0.3">
      <c r="A101" t="s">
        <v>332</v>
      </c>
      <c r="B101">
        <v>6000</v>
      </c>
      <c r="C101" t="s">
        <v>48</v>
      </c>
      <c r="D101">
        <v>11078</v>
      </c>
      <c r="E101" t="str">
        <f>INDEX(Accounts!$C$2:$C$9,MATCH(B101,Accounts!$A$2:$A$9,0))</f>
        <v>Operating Expense</v>
      </c>
    </row>
    <row r="102" spans="1:5" x14ac:dyDescent="0.3">
      <c r="A102" t="s">
        <v>332</v>
      </c>
      <c r="B102">
        <v>6100</v>
      </c>
      <c r="C102" t="s">
        <v>41</v>
      </c>
      <c r="D102">
        <v>12235</v>
      </c>
      <c r="E102" t="str">
        <f>INDEX(Accounts!$C$2:$C$9,MATCH(B102,Accounts!$A$2:$A$9,0))</f>
        <v>Operating Expense</v>
      </c>
    </row>
    <row r="103" spans="1:5" x14ac:dyDescent="0.3">
      <c r="A103" t="s">
        <v>332</v>
      </c>
      <c r="B103">
        <v>6100</v>
      </c>
      <c r="C103" t="s">
        <v>43</v>
      </c>
      <c r="D103">
        <v>9993</v>
      </c>
      <c r="E103" t="str">
        <f>INDEX(Accounts!$C$2:$C$9,MATCH(B103,Accounts!$A$2:$A$9,0))</f>
        <v>Operating Expense</v>
      </c>
    </row>
    <row r="104" spans="1:5" x14ac:dyDescent="0.3">
      <c r="A104" t="s">
        <v>332</v>
      </c>
      <c r="B104">
        <v>6100</v>
      </c>
      <c r="C104" t="s">
        <v>45</v>
      </c>
      <c r="D104">
        <v>7283</v>
      </c>
      <c r="E104" t="str">
        <f>INDEX(Accounts!$C$2:$C$9,MATCH(B104,Accounts!$A$2:$A$9,0))</f>
        <v>Operating Expense</v>
      </c>
    </row>
    <row r="105" spans="1:5" x14ac:dyDescent="0.3">
      <c r="A105" t="s">
        <v>332</v>
      </c>
      <c r="B105">
        <v>6100</v>
      </c>
      <c r="C105" t="s">
        <v>47</v>
      </c>
      <c r="D105">
        <v>5647</v>
      </c>
      <c r="E105" t="str">
        <f>INDEX(Accounts!$C$2:$C$9,MATCH(B105,Accounts!$A$2:$A$9,0))</f>
        <v>Operating Expense</v>
      </c>
    </row>
    <row r="106" spans="1:5" x14ac:dyDescent="0.3">
      <c r="A106" t="s">
        <v>332</v>
      </c>
      <c r="B106">
        <v>6100</v>
      </c>
      <c r="C106" t="s">
        <v>48</v>
      </c>
      <c r="D106">
        <v>4459</v>
      </c>
      <c r="E106" t="str">
        <f>INDEX(Accounts!$C$2:$C$9,MATCH(B106,Accounts!$A$2:$A$9,0))</f>
        <v>Operating Expense</v>
      </c>
    </row>
    <row r="107" spans="1:5" x14ac:dyDescent="0.3">
      <c r="A107" t="s">
        <v>332</v>
      </c>
      <c r="B107">
        <v>6200</v>
      </c>
      <c r="C107" t="s">
        <v>41</v>
      </c>
      <c r="D107">
        <v>12491</v>
      </c>
      <c r="E107" t="str">
        <f>INDEX(Accounts!$C$2:$C$9,MATCH(B107,Accounts!$A$2:$A$9,0))</f>
        <v>Operating Expense</v>
      </c>
    </row>
    <row r="108" spans="1:5" x14ac:dyDescent="0.3">
      <c r="A108" t="s">
        <v>332</v>
      </c>
      <c r="B108">
        <v>6200</v>
      </c>
      <c r="C108" t="s">
        <v>43</v>
      </c>
      <c r="D108">
        <v>8650</v>
      </c>
      <c r="E108" t="str">
        <f>INDEX(Accounts!$C$2:$C$9,MATCH(B108,Accounts!$A$2:$A$9,0))</f>
        <v>Operating Expense</v>
      </c>
    </row>
    <row r="109" spans="1:5" x14ac:dyDescent="0.3">
      <c r="A109" t="s">
        <v>332</v>
      </c>
      <c r="B109">
        <v>6200</v>
      </c>
      <c r="C109" t="s">
        <v>45</v>
      </c>
      <c r="D109">
        <v>6236</v>
      </c>
      <c r="E109" t="str">
        <f>INDEX(Accounts!$C$2:$C$9,MATCH(B109,Accounts!$A$2:$A$9,0))</f>
        <v>Operating Expense</v>
      </c>
    </row>
    <row r="110" spans="1:5" x14ac:dyDescent="0.3">
      <c r="A110" t="s">
        <v>332</v>
      </c>
      <c r="B110">
        <v>6200</v>
      </c>
      <c r="C110" t="s">
        <v>47</v>
      </c>
      <c r="D110">
        <v>5342</v>
      </c>
      <c r="E110" t="str">
        <f>INDEX(Accounts!$C$2:$C$9,MATCH(B110,Accounts!$A$2:$A$9,0))</f>
        <v>Operating Expense</v>
      </c>
    </row>
    <row r="111" spans="1:5" x14ac:dyDescent="0.3">
      <c r="A111" t="s">
        <v>332</v>
      </c>
      <c r="B111">
        <v>6200</v>
      </c>
      <c r="C111" t="s">
        <v>48</v>
      </c>
      <c r="D111">
        <v>4814</v>
      </c>
      <c r="E111" t="str">
        <f>INDEX(Accounts!$C$2:$C$9,MATCH(B111,Accounts!$A$2:$A$9,0))</f>
        <v>Operating Expense</v>
      </c>
    </row>
    <row r="112" spans="1:5" x14ac:dyDescent="0.3">
      <c r="A112" t="s">
        <v>332</v>
      </c>
      <c r="B112">
        <v>6300</v>
      </c>
      <c r="C112" t="s">
        <v>41</v>
      </c>
      <c r="D112">
        <v>9834</v>
      </c>
      <c r="E112" t="str">
        <f>INDEX(Accounts!$C$2:$C$9,MATCH(B112,Accounts!$A$2:$A$9,0))</f>
        <v>Operating Expense</v>
      </c>
    </row>
    <row r="113" spans="1:5" x14ac:dyDescent="0.3">
      <c r="A113" t="s">
        <v>332</v>
      </c>
      <c r="B113">
        <v>6300</v>
      </c>
      <c r="C113" t="s">
        <v>43</v>
      </c>
      <c r="D113">
        <v>8473</v>
      </c>
      <c r="E113" t="str">
        <f>INDEX(Accounts!$C$2:$C$9,MATCH(B113,Accounts!$A$2:$A$9,0))</f>
        <v>Operating Expense</v>
      </c>
    </row>
    <row r="114" spans="1:5" x14ac:dyDescent="0.3">
      <c r="A114" t="s">
        <v>332</v>
      </c>
      <c r="B114">
        <v>6300</v>
      </c>
      <c r="C114" t="s">
        <v>45</v>
      </c>
      <c r="D114">
        <v>6271</v>
      </c>
      <c r="E114" t="str">
        <f>INDEX(Accounts!$C$2:$C$9,MATCH(B114,Accounts!$A$2:$A$9,0))</f>
        <v>Operating Expense</v>
      </c>
    </row>
    <row r="115" spans="1:5" x14ac:dyDescent="0.3">
      <c r="A115" t="s">
        <v>332</v>
      </c>
      <c r="B115">
        <v>6300</v>
      </c>
      <c r="C115" t="s">
        <v>47</v>
      </c>
      <c r="D115">
        <v>4048</v>
      </c>
      <c r="E115" t="str">
        <f>INDEX(Accounts!$C$2:$C$9,MATCH(B115,Accounts!$A$2:$A$9,0))</f>
        <v>Operating Expense</v>
      </c>
    </row>
    <row r="116" spans="1:5" x14ac:dyDescent="0.3">
      <c r="A116" t="s">
        <v>332</v>
      </c>
      <c r="B116">
        <v>6300</v>
      </c>
      <c r="C116" t="s">
        <v>48</v>
      </c>
      <c r="D116">
        <v>4319</v>
      </c>
      <c r="E116" t="str">
        <f>INDEX(Accounts!$C$2:$C$9,MATCH(B116,Accounts!$A$2:$A$9,0))</f>
        <v>Operating Expense</v>
      </c>
    </row>
    <row r="117" spans="1:5" x14ac:dyDescent="0.3">
      <c r="A117" t="s">
        <v>332</v>
      </c>
      <c r="B117">
        <v>6400</v>
      </c>
      <c r="C117" t="s">
        <v>41</v>
      </c>
      <c r="D117">
        <v>6845</v>
      </c>
      <c r="E117" t="str">
        <f>INDEX(Accounts!$C$2:$C$9,MATCH(B117,Accounts!$A$2:$A$9,0))</f>
        <v>Operating Expense</v>
      </c>
    </row>
    <row r="118" spans="1:5" x14ac:dyDescent="0.3">
      <c r="A118" t="s">
        <v>332</v>
      </c>
      <c r="B118">
        <v>6400</v>
      </c>
      <c r="C118" t="s">
        <v>43</v>
      </c>
      <c r="D118">
        <v>5768</v>
      </c>
      <c r="E118" t="str">
        <f>INDEX(Accounts!$C$2:$C$9,MATCH(B118,Accounts!$A$2:$A$9,0))</f>
        <v>Operating Expense</v>
      </c>
    </row>
    <row r="119" spans="1:5" x14ac:dyDescent="0.3">
      <c r="A119" t="s">
        <v>332</v>
      </c>
      <c r="B119">
        <v>6400</v>
      </c>
      <c r="C119" t="s">
        <v>45</v>
      </c>
      <c r="D119">
        <v>3900</v>
      </c>
      <c r="E119" t="str">
        <f>INDEX(Accounts!$C$2:$C$9,MATCH(B119,Accounts!$A$2:$A$9,0))</f>
        <v>Operating Expense</v>
      </c>
    </row>
    <row r="120" spans="1:5" x14ac:dyDescent="0.3">
      <c r="A120" t="s">
        <v>332</v>
      </c>
      <c r="B120">
        <v>6400</v>
      </c>
      <c r="C120" t="s">
        <v>47</v>
      </c>
      <c r="D120">
        <v>2475</v>
      </c>
      <c r="E120" t="str">
        <f>INDEX(Accounts!$C$2:$C$9,MATCH(B120,Accounts!$A$2:$A$9,0))</f>
        <v>Operating Expense</v>
      </c>
    </row>
    <row r="121" spans="1:5" x14ac:dyDescent="0.3">
      <c r="A121" t="s">
        <v>332</v>
      </c>
      <c r="B121">
        <v>6400</v>
      </c>
      <c r="C121" t="s">
        <v>48</v>
      </c>
      <c r="D121">
        <v>2331</v>
      </c>
      <c r="E121" t="str">
        <f>INDEX(Accounts!$C$2:$C$9,MATCH(B121,Accounts!$A$2:$A$9,0))</f>
        <v>Operating Expense</v>
      </c>
    </row>
    <row r="122" spans="1:5" x14ac:dyDescent="0.3">
      <c r="A122" t="s">
        <v>472</v>
      </c>
      <c r="B122">
        <v>4000</v>
      </c>
      <c r="C122" t="s">
        <v>41</v>
      </c>
      <c r="D122">
        <v>145754</v>
      </c>
      <c r="E122" t="str">
        <f>INDEX(Accounts!$C$2:$C$9,MATCH(B122,Accounts!$A$2:$A$9,0))</f>
        <v>Revenue</v>
      </c>
    </row>
    <row r="123" spans="1:5" x14ac:dyDescent="0.3">
      <c r="A123" t="s">
        <v>472</v>
      </c>
      <c r="B123">
        <v>4000</v>
      </c>
      <c r="C123" t="s">
        <v>43</v>
      </c>
      <c r="D123">
        <v>133465</v>
      </c>
      <c r="E123" t="str">
        <f>INDEX(Accounts!$C$2:$C$9,MATCH(B123,Accounts!$A$2:$A$9,0))</f>
        <v>Revenue</v>
      </c>
    </row>
    <row r="124" spans="1:5" x14ac:dyDescent="0.3">
      <c r="A124" t="s">
        <v>472</v>
      </c>
      <c r="B124">
        <v>4000</v>
      </c>
      <c r="C124" t="s">
        <v>45</v>
      </c>
      <c r="D124">
        <v>92418</v>
      </c>
      <c r="E124" t="str">
        <f>INDEX(Accounts!$C$2:$C$9,MATCH(B124,Accounts!$A$2:$A$9,0))</f>
        <v>Revenue</v>
      </c>
    </row>
    <row r="125" spans="1:5" x14ac:dyDescent="0.3">
      <c r="A125" t="s">
        <v>472</v>
      </c>
      <c r="B125">
        <v>4000</v>
      </c>
      <c r="C125" t="s">
        <v>47</v>
      </c>
      <c r="D125">
        <v>70616</v>
      </c>
      <c r="E125" t="str">
        <f>INDEX(Accounts!$C$2:$C$9,MATCH(B125,Accounts!$A$2:$A$9,0))</f>
        <v>Revenue</v>
      </c>
    </row>
    <row r="126" spans="1:5" x14ac:dyDescent="0.3">
      <c r="A126" t="s">
        <v>472</v>
      </c>
      <c r="B126">
        <v>4000</v>
      </c>
      <c r="C126" t="s">
        <v>48</v>
      </c>
      <c r="D126">
        <v>58940</v>
      </c>
      <c r="E126" t="str">
        <f>INDEX(Accounts!$C$2:$C$9,MATCH(B126,Accounts!$A$2:$A$9,0))</f>
        <v>Revenue</v>
      </c>
    </row>
    <row r="127" spans="1:5" x14ac:dyDescent="0.3">
      <c r="A127" t="s">
        <v>472</v>
      </c>
      <c r="B127">
        <v>4100</v>
      </c>
      <c r="C127" t="s">
        <v>41</v>
      </c>
      <c r="D127">
        <v>8531</v>
      </c>
      <c r="E127" t="str">
        <f>INDEX(Accounts!$C$2:$C$9,MATCH(B127,Accounts!$A$2:$A$9,0))</f>
        <v>Contra Revenue</v>
      </c>
    </row>
    <row r="128" spans="1:5" x14ac:dyDescent="0.3">
      <c r="A128" t="s">
        <v>472</v>
      </c>
      <c r="B128">
        <v>4100</v>
      </c>
      <c r="C128" t="s">
        <v>43</v>
      </c>
      <c r="D128">
        <v>6618</v>
      </c>
      <c r="E128" t="str">
        <f>INDEX(Accounts!$C$2:$C$9,MATCH(B128,Accounts!$A$2:$A$9,0))</f>
        <v>Contra Revenue</v>
      </c>
    </row>
    <row r="129" spans="1:5" x14ac:dyDescent="0.3">
      <c r="A129" t="s">
        <v>472</v>
      </c>
      <c r="B129">
        <v>4100</v>
      </c>
      <c r="C129" t="s">
        <v>45</v>
      </c>
      <c r="D129">
        <v>4999</v>
      </c>
      <c r="E129" t="str">
        <f>INDEX(Accounts!$C$2:$C$9,MATCH(B129,Accounts!$A$2:$A$9,0))</f>
        <v>Contra Revenue</v>
      </c>
    </row>
    <row r="130" spans="1:5" x14ac:dyDescent="0.3">
      <c r="A130" t="s">
        <v>472</v>
      </c>
      <c r="B130">
        <v>4100</v>
      </c>
      <c r="C130" t="s">
        <v>47</v>
      </c>
      <c r="D130">
        <v>3936</v>
      </c>
      <c r="E130" t="str">
        <f>INDEX(Accounts!$C$2:$C$9,MATCH(B130,Accounts!$A$2:$A$9,0))</f>
        <v>Contra Revenue</v>
      </c>
    </row>
    <row r="131" spans="1:5" x14ac:dyDescent="0.3">
      <c r="A131" t="s">
        <v>472</v>
      </c>
      <c r="B131">
        <v>4100</v>
      </c>
      <c r="C131" t="s">
        <v>48</v>
      </c>
      <c r="D131">
        <v>3143</v>
      </c>
      <c r="E131" t="str">
        <f>INDEX(Accounts!$C$2:$C$9,MATCH(B131,Accounts!$A$2:$A$9,0))</f>
        <v>Contra Revenue</v>
      </c>
    </row>
    <row r="132" spans="1:5" x14ac:dyDescent="0.3">
      <c r="A132" t="s">
        <v>472</v>
      </c>
      <c r="B132">
        <v>5000</v>
      </c>
      <c r="C132" t="s">
        <v>41</v>
      </c>
      <c r="D132">
        <v>71990</v>
      </c>
      <c r="E132" t="str">
        <f>INDEX(Accounts!$C$2:$C$9,MATCH(B132,Accounts!$A$2:$A$9,0))</f>
        <v>COGS</v>
      </c>
    </row>
    <row r="133" spans="1:5" x14ac:dyDescent="0.3">
      <c r="A133" t="s">
        <v>472</v>
      </c>
      <c r="B133">
        <v>5000</v>
      </c>
      <c r="C133" t="s">
        <v>43</v>
      </c>
      <c r="D133">
        <v>54362</v>
      </c>
      <c r="E133" t="str">
        <f>INDEX(Accounts!$C$2:$C$9,MATCH(B133,Accounts!$A$2:$A$9,0))</f>
        <v>COGS</v>
      </c>
    </row>
    <row r="134" spans="1:5" x14ac:dyDescent="0.3">
      <c r="A134" t="s">
        <v>472</v>
      </c>
      <c r="B134">
        <v>5000</v>
      </c>
      <c r="C134" t="s">
        <v>45</v>
      </c>
      <c r="D134">
        <v>43531</v>
      </c>
      <c r="E134" t="str">
        <f>INDEX(Accounts!$C$2:$C$9,MATCH(B134,Accounts!$A$2:$A$9,0))</f>
        <v>COGS</v>
      </c>
    </row>
    <row r="135" spans="1:5" x14ac:dyDescent="0.3">
      <c r="A135" t="s">
        <v>472</v>
      </c>
      <c r="B135">
        <v>5000</v>
      </c>
      <c r="C135" t="s">
        <v>47</v>
      </c>
      <c r="D135">
        <v>27906</v>
      </c>
      <c r="E135" t="str">
        <f>INDEX(Accounts!$C$2:$C$9,MATCH(B135,Accounts!$A$2:$A$9,0))</f>
        <v>COGS</v>
      </c>
    </row>
    <row r="136" spans="1:5" x14ac:dyDescent="0.3">
      <c r="A136" t="s">
        <v>472</v>
      </c>
      <c r="B136">
        <v>5000</v>
      </c>
      <c r="C136" t="s">
        <v>48</v>
      </c>
      <c r="D136">
        <v>23911</v>
      </c>
      <c r="E136" t="str">
        <f>INDEX(Accounts!$C$2:$C$9,MATCH(B136,Accounts!$A$2:$A$9,0))</f>
        <v>COGS</v>
      </c>
    </row>
    <row r="137" spans="1:5" x14ac:dyDescent="0.3">
      <c r="A137" t="s">
        <v>472</v>
      </c>
      <c r="B137">
        <v>6000</v>
      </c>
      <c r="C137" t="s">
        <v>41</v>
      </c>
      <c r="D137">
        <v>24799</v>
      </c>
      <c r="E137" t="str">
        <f>INDEX(Accounts!$C$2:$C$9,MATCH(B137,Accounts!$A$2:$A$9,0))</f>
        <v>Operating Expense</v>
      </c>
    </row>
    <row r="138" spans="1:5" x14ac:dyDescent="0.3">
      <c r="A138" t="s">
        <v>472</v>
      </c>
      <c r="B138">
        <v>6000</v>
      </c>
      <c r="C138" t="s">
        <v>43</v>
      </c>
      <c r="D138">
        <v>25803</v>
      </c>
      <c r="E138" t="str">
        <f>INDEX(Accounts!$C$2:$C$9,MATCH(B138,Accounts!$A$2:$A$9,0))</f>
        <v>Operating Expense</v>
      </c>
    </row>
    <row r="139" spans="1:5" x14ac:dyDescent="0.3">
      <c r="A139" t="s">
        <v>472</v>
      </c>
      <c r="B139">
        <v>6000</v>
      </c>
      <c r="C139" t="s">
        <v>45</v>
      </c>
      <c r="D139">
        <v>16317</v>
      </c>
      <c r="E139" t="str">
        <f>INDEX(Accounts!$C$2:$C$9,MATCH(B139,Accounts!$A$2:$A$9,0))</f>
        <v>Operating Expense</v>
      </c>
    </row>
    <row r="140" spans="1:5" x14ac:dyDescent="0.3">
      <c r="A140" t="s">
        <v>472</v>
      </c>
      <c r="B140">
        <v>6000</v>
      </c>
      <c r="C140" t="s">
        <v>47</v>
      </c>
      <c r="D140">
        <v>11230</v>
      </c>
      <c r="E140" t="str">
        <f>INDEX(Accounts!$C$2:$C$9,MATCH(B140,Accounts!$A$2:$A$9,0))</f>
        <v>Operating Expense</v>
      </c>
    </row>
    <row r="141" spans="1:5" x14ac:dyDescent="0.3">
      <c r="A141" t="s">
        <v>472</v>
      </c>
      <c r="B141">
        <v>6000</v>
      </c>
      <c r="C141" t="s">
        <v>48</v>
      </c>
      <c r="D141">
        <v>10612</v>
      </c>
      <c r="E141" t="str">
        <f>INDEX(Accounts!$C$2:$C$9,MATCH(B141,Accounts!$A$2:$A$9,0))</f>
        <v>Operating Expense</v>
      </c>
    </row>
    <row r="142" spans="1:5" x14ac:dyDescent="0.3">
      <c r="A142" t="s">
        <v>472</v>
      </c>
      <c r="B142">
        <v>6100</v>
      </c>
      <c r="C142" t="s">
        <v>41</v>
      </c>
      <c r="D142">
        <v>11652</v>
      </c>
      <c r="E142" t="str">
        <f>INDEX(Accounts!$C$2:$C$9,MATCH(B142,Accounts!$A$2:$A$9,0))</f>
        <v>Operating Expense</v>
      </c>
    </row>
    <row r="143" spans="1:5" x14ac:dyDescent="0.3">
      <c r="A143" t="s">
        <v>472</v>
      </c>
      <c r="B143">
        <v>6100</v>
      </c>
      <c r="C143" t="s">
        <v>43</v>
      </c>
      <c r="D143">
        <v>10182</v>
      </c>
      <c r="E143" t="str">
        <f>INDEX(Accounts!$C$2:$C$9,MATCH(B143,Accounts!$A$2:$A$9,0))</f>
        <v>Operating Expense</v>
      </c>
    </row>
    <row r="144" spans="1:5" x14ac:dyDescent="0.3">
      <c r="A144" t="s">
        <v>472</v>
      </c>
      <c r="B144">
        <v>6100</v>
      </c>
      <c r="C144" t="s">
        <v>45</v>
      </c>
      <c r="D144">
        <v>6496</v>
      </c>
      <c r="E144" t="str">
        <f>INDEX(Accounts!$C$2:$C$9,MATCH(B144,Accounts!$A$2:$A$9,0))</f>
        <v>Operating Expense</v>
      </c>
    </row>
    <row r="145" spans="1:5" x14ac:dyDescent="0.3">
      <c r="A145" t="s">
        <v>472</v>
      </c>
      <c r="B145">
        <v>6100</v>
      </c>
      <c r="C145" t="s">
        <v>47</v>
      </c>
      <c r="D145">
        <v>5511</v>
      </c>
      <c r="E145" t="str">
        <f>INDEX(Accounts!$C$2:$C$9,MATCH(B145,Accounts!$A$2:$A$9,0))</f>
        <v>Operating Expense</v>
      </c>
    </row>
    <row r="146" spans="1:5" x14ac:dyDescent="0.3">
      <c r="A146" t="s">
        <v>472</v>
      </c>
      <c r="B146">
        <v>6100</v>
      </c>
      <c r="C146" t="s">
        <v>48</v>
      </c>
      <c r="D146">
        <v>5133</v>
      </c>
      <c r="E146" t="str">
        <f>INDEX(Accounts!$C$2:$C$9,MATCH(B146,Accounts!$A$2:$A$9,0))</f>
        <v>Operating Expense</v>
      </c>
    </row>
    <row r="147" spans="1:5" x14ac:dyDescent="0.3">
      <c r="A147" t="s">
        <v>472</v>
      </c>
      <c r="B147">
        <v>6200</v>
      </c>
      <c r="C147" t="s">
        <v>41</v>
      </c>
      <c r="D147">
        <v>11014</v>
      </c>
      <c r="E147" t="str">
        <f>INDEX(Accounts!$C$2:$C$9,MATCH(B147,Accounts!$A$2:$A$9,0))</f>
        <v>Operating Expense</v>
      </c>
    </row>
    <row r="148" spans="1:5" x14ac:dyDescent="0.3">
      <c r="A148" t="s">
        <v>472</v>
      </c>
      <c r="B148">
        <v>6200</v>
      </c>
      <c r="C148" t="s">
        <v>43</v>
      </c>
      <c r="D148">
        <v>10296</v>
      </c>
      <c r="E148" t="str">
        <f>INDEX(Accounts!$C$2:$C$9,MATCH(B148,Accounts!$A$2:$A$9,0))</f>
        <v>Operating Expense</v>
      </c>
    </row>
    <row r="149" spans="1:5" x14ac:dyDescent="0.3">
      <c r="A149" t="s">
        <v>472</v>
      </c>
      <c r="B149">
        <v>6200</v>
      </c>
      <c r="C149" t="s">
        <v>45</v>
      </c>
      <c r="D149">
        <v>7361</v>
      </c>
      <c r="E149" t="str">
        <f>INDEX(Accounts!$C$2:$C$9,MATCH(B149,Accounts!$A$2:$A$9,0))</f>
        <v>Operating Expense</v>
      </c>
    </row>
    <row r="150" spans="1:5" x14ac:dyDescent="0.3">
      <c r="A150" t="s">
        <v>472</v>
      </c>
      <c r="B150">
        <v>6200</v>
      </c>
      <c r="C150" t="s">
        <v>47</v>
      </c>
      <c r="D150">
        <v>4711</v>
      </c>
      <c r="E150" t="str">
        <f>INDEX(Accounts!$C$2:$C$9,MATCH(B150,Accounts!$A$2:$A$9,0))</f>
        <v>Operating Expense</v>
      </c>
    </row>
    <row r="151" spans="1:5" x14ac:dyDescent="0.3">
      <c r="A151" t="s">
        <v>472</v>
      </c>
      <c r="B151">
        <v>6200</v>
      </c>
      <c r="C151" t="s">
        <v>48</v>
      </c>
      <c r="D151">
        <v>4745</v>
      </c>
      <c r="E151" t="str">
        <f>INDEX(Accounts!$C$2:$C$9,MATCH(B151,Accounts!$A$2:$A$9,0))</f>
        <v>Operating Expense</v>
      </c>
    </row>
    <row r="152" spans="1:5" x14ac:dyDescent="0.3">
      <c r="A152" t="s">
        <v>472</v>
      </c>
      <c r="B152">
        <v>6300</v>
      </c>
      <c r="C152" t="s">
        <v>41</v>
      </c>
      <c r="D152">
        <v>9867</v>
      </c>
      <c r="E152" t="str">
        <f>INDEX(Accounts!$C$2:$C$9,MATCH(B152,Accounts!$A$2:$A$9,0))</f>
        <v>Operating Expense</v>
      </c>
    </row>
    <row r="153" spans="1:5" x14ac:dyDescent="0.3">
      <c r="A153" t="s">
        <v>472</v>
      </c>
      <c r="B153">
        <v>6300</v>
      </c>
      <c r="C153" t="s">
        <v>43</v>
      </c>
      <c r="D153">
        <v>8148</v>
      </c>
      <c r="E153" t="str">
        <f>INDEX(Accounts!$C$2:$C$9,MATCH(B153,Accounts!$A$2:$A$9,0))</f>
        <v>Operating Expense</v>
      </c>
    </row>
    <row r="154" spans="1:5" x14ac:dyDescent="0.3">
      <c r="A154" t="s">
        <v>472</v>
      </c>
      <c r="B154">
        <v>6300</v>
      </c>
      <c r="C154" t="s">
        <v>45</v>
      </c>
      <c r="D154">
        <v>5905</v>
      </c>
      <c r="E154" t="str">
        <f>INDEX(Accounts!$C$2:$C$9,MATCH(B154,Accounts!$A$2:$A$9,0))</f>
        <v>Operating Expense</v>
      </c>
    </row>
    <row r="155" spans="1:5" x14ac:dyDescent="0.3">
      <c r="A155" t="s">
        <v>472</v>
      </c>
      <c r="B155">
        <v>6300</v>
      </c>
      <c r="C155" t="s">
        <v>47</v>
      </c>
      <c r="D155">
        <v>4329</v>
      </c>
      <c r="E155" t="str">
        <f>INDEX(Accounts!$C$2:$C$9,MATCH(B155,Accounts!$A$2:$A$9,0))</f>
        <v>Operating Expense</v>
      </c>
    </row>
    <row r="156" spans="1:5" x14ac:dyDescent="0.3">
      <c r="A156" t="s">
        <v>472</v>
      </c>
      <c r="B156">
        <v>6300</v>
      </c>
      <c r="C156" t="s">
        <v>48</v>
      </c>
      <c r="D156">
        <v>4080</v>
      </c>
      <c r="E156" t="str">
        <f>INDEX(Accounts!$C$2:$C$9,MATCH(B156,Accounts!$A$2:$A$9,0))</f>
        <v>Operating Expense</v>
      </c>
    </row>
    <row r="157" spans="1:5" x14ac:dyDescent="0.3">
      <c r="A157" t="s">
        <v>472</v>
      </c>
      <c r="B157">
        <v>6400</v>
      </c>
      <c r="C157" t="s">
        <v>41</v>
      </c>
      <c r="D157">
        <v>6536</v>
      </c>
      <c r="E157" t="str">
        <f>INDEX(Accounts!$C$2:$C$9,MATCH(B157,Accounts!$A$2:$A$9,0))</f>
        <v>Operating Expense</v>
      </c>
    </row>
    <row r="158" spans="1:5" x14ac:dyDescent="0.3">
      <c r="A158" t="s">
        <v>472</v>
      </c>
      <c r="B158">
        <v>6400</v>
      </c>
      <c r="C158" t="s">
        <v>43</v>
      </c>
      <c r="D158">
        <v>5273</v>
      </c>
      <c r="E158" t="str">
        <f>INDEX(Accounts!$C$2:$C$9,MATCH(B158,Accounts!$A$2:$A$9,0))</f>
        <v>Operating Expense</v>
      </c>
    </row>
    <row r="159" spans="1:5" x14ac:dyDescent="0.3">
      <c r="A159" t="s">
        <v>472</v>
      </c>
      <c r="B159">
        <v>6400</v>
      </c>
      <c r="C159" t="s">
        <v>45</v>
      </c>
      <c r="D159">
        <v>3530</v>
      </c>
      <c r="E159" t="str">
        <f>INDEX(Accounts!$C$2:$C$9,MATCH(B159,Accounts!$A$2:$A$9,0))</f>
        <v>Operating Expense</v>
      </c>
    </row>
    <row r="160" spans="1:5" x14ac:dyDescent="0.3">
      <c r="A160" t="s">
        <v>472</v>
      </c>
      <c r="B160">
        <v>6400</v>
      </c>
      <c r="C160" t="s">
        <v>47</v>
      </c>
      <c r="D160">
        <v>2708</v>
      </c>
      <c r="E160" t="str">
        <f>INDEX(Accounts!$C$2:$C$9,MATCH(B160,Accounts!$A$2:$A$9,0))</f>
        <v>Operating Expense</v>
      </c>
    </row>
    <row r="161" spans="1:5" x14ac:dyDescent="0.3">
      <c r="A161" t="s">
        <v>472</v>
      </c>
      <c r="B161">
        <v>6400</v>
      </c>
      <c r="C161" t="s">
        <v>48</v>
      </c>
      <c r="D161">
        <v>2758</v>
      </c>
      <c r="E161" t="str">
        <f>INDEX(Accounts!$C$2:$C$9,MATCH(B161,Accounts!$A$2:$A$9,0))</f>
        <v>Operating Expense</v>
      </c>
    </row>
    <row r="162" spans="1:5" x14ac:dyDescent="0.3">
      <c r="A162" t="s">
        <v>612</v>
      </c>
      <c r="B162">
        <v>4000</v>
      </c>
      <c r="C162" t="s">
        <v>41</v>
      </c>
      <c r="D162">
        <v>169499</v>
      </c>
      <c r="E162" t="str">
        <f>INDEX(Accounts!$C$2:$C$9,MATCH(B162,Accounts!$A$2:$A$9,0))</f>
        <v>Revenue</v>
      </c>
    </row>
    <row r="163" spans="1:5" x14ac:dyDescent="0.3">
      <c r="A163" t="s">
        <v>612</v>
      </c>
      <c r="B163">
        <v>4000</v>
      </c>
      <c r="C163" t="s">
        <v>43</v>
      </c>
      <c r="D163">
        <v>122579</v>
      </c>
      <c r="E163" t="str">
        <f>INDEX(Accounts!$C$2:$C$9,MATCH(B163,Accounts!$A$2:$A$9,0))</f>
        <v>Revenue</v>
      </c>
    </row>
    <row r="164" spans="1:5" x14ac:dyDescent="0.3">
      <c r="A164" t="s">
        <v>612</v>
      </c>
      <c r="B164">
        <v>4000</v>
      </c>
      <c r="C164" t="s">
        <v>45</v>
      </c>
      <c r="D164">
        <v>104948</v>
      </c>
      <c r="E164" t="str">
        <f>INDEX(Accounts!$C$2:$C$9,MATCH(B164,Accounts!$A$2:$A$9,0))</f>
        <v>Revenue</v>
      </c>
    </row>
    <row r="165" spans="1:5" x14ac:dyDescent="0.3">
      <c r="A165" t="s">
        <v>612</v>
      </c>
      <c r="B165">
        <v>4000</v>
      </c>
      <c r="C165" t="s">
        <v>47</v>
      </c>
      <c r="D165">
        <v>72010</v>
      </c>
      <c r="E165" t="str">
        <f>INDEX(Accounts!$C$2:$C$9,MATCH(B165,Accounts!$A$2:$A$9,0))</f>
        <v>Revenue</v>
      </c>
    </row>
    <row r="166" spans="1:5" x14ac:dyDescent="0.3">
      <c r="A166" t="s">
        <v>612</v>
      </c>
      <c r="B166">
        <v>4000</v>
      </c>
      <c r="C166" t="s">
        <v>48</v>
      </c>
      <c r="D166">
        <v>58096</v>
      </c>
      <c r="E166" t="str">
        <f>INDEX(Accounts!$C$2:$C$9,MATCH(B166,Accounts!$A$2:$A$9,0))</f>
        <v>Revenue</v>
      </c>
    </row>
    <row r="167" spans="1:5" x14ac:dyDescent="0.3">
      <c r="A167" t="s">
        <v>612</v>
      </c>
      <c r="B167">
        <v>4100</v>
      </c>
      <c r="C167" t="s">
        <v>41</v>
      </c>
      <c r="D167">
        <v>7441</v>
      </c>
      <c r="E167" t="str">
        <f>INDEX(Accounts!$C$2:$C$9,MATCH(B167,Accounts!$A$2:$A$9,0))</f>
        <v>Contra Revenue</v>
      </c>
    </row>
    <row r="168" spans="1:5" x14ac:dyDescent="0.3">
      <c r="A168" t="s">
        <v>612</v>
      </c>
      <c r="B168">
        <v>4100</v>
      </c>
      <c r="C168" t="s">
        <v>43</v>
      </c>
      <c r="D168">
        <v>6166</v>
      </c>
      <c r="E168" t="str">
        <f>INDEX(Accounts!$C$2:$C$9,MATCH(B168,Accounts!$A$2:$A$9,0))</f>
        <v>Contra Revenue</v>
      </c>
    </row>
    <row r="169" spans="1:5" x14ac:dyDescent="0.3">
      <c r="A169" t="s">
        <v>612</v>
      </c>
      <c r="B169">
        <v>4100</v>
      </c>
      <c r="C169" t="s">
        <v>45</v>
      </c>
      <c r="D169">
        <v>5161</v>
      </c>
      <c r="E169" t="str">
        <f>INDEX(Accounts!$C$2:$C$9,MATCH(B169,Accounts!$A$2:$A$9,0))</f>
        <v>Contra Revenue</v>
      </c>
    </row>
    <row r="170" spans="1:5" x14ac:dyDescent="0.3">
      <c r="A170" t="s">
        <v>612</v>
      </c>
      <c r="B170">
        <v>4100</v>
      </c>
      <c r="C170" t="s">
        <v>47</v>
      </c>
      <c r="D170">
        <v>3600</v>
      </c>
      <c r="E170" t="str">
        <f>INDEX(Accounts!$C$2:$C$9,MATCH(B170,Accounts!$A$2:$A$9,0))</f>
        <v>Contra Revenue</v>
      </c>
    </row>
    <row r="171" spans="1:5" x14ac:dyDescent="0.3">
      <c r="A171" t="s">
        <v>612</v>
      </c>
      <c r="B171">
        <v>4100</v>
      </c>
      <c r="C171" t="s">
        <v>48</v>
      </c>
      <c r="D171">
        <v>3237</v>
      </c>
      <c r="E171" t="str">
        <f>INDEX(Accounts!$C$2:$C$9,MATCH(B171,Accounts!$A$2:$A$9,0))</f>
        <v>Contra Revenue</v>
      </c>
    </row>
    <row r="172" spans="1:5" x14ac:dyDescent="0.3">
      <c r="A172" t="s">
        <v>612</v>
      </c>
      <c r="B172">
        <v>5000</v>
      </c>
      <c r="C172" t="s">
        <v>41</v>
      </c>
      <c r="D172">
        <v>72660</v>
      </c>
      <c r="E172" t="str">
        <f>INDEX(Accounts!$C$2:$C$9,MATCH(B172,Accounts!$A$2:$A$9,0))</f>
        <v>COGS</v>
      </c>
    </row>
    <row r="173" spans="1:5" x14ac:dyDescent="0.3">
      <c r="A173" t="s">
        <v>612</v>
      </c>
      <c r="B173">
        <v>5000</v>
      </c>
      <c r="C173" t="s">
        <v>43</v>
      </c>
      <c r="D173">
        <v>50157</v>
      </c>
      <c r="E173" t="str">
        <f>INDEX(Accounts!$C$2:$C$9,MATCH(B173,Accounts!$A$2:$A$9,0))</f>
        <v>COGS</v>
      </c>
    </row>
    <row r="174" spans="1:5" x14ac:dyDescent="0.3">
      <c r="A174" t="s">
        <v>612</v>
      </c>
      <c r="B174">
        <v>5000</v>
      </c>
      <c r="C174" t="s">
        <v>45</v>
      </c>
      <c r="D174">
        <v>40610</v>
      </c>
      <c r="E174" t="str">
        <f>INDEX(Accounts!$C$2:$C$9,MATCH(B174,Accounts!$A$2:$A$9,0))</f>
        <v>COGS</v>
      </c>
    </row>
    <row r="175" spans="1:5" x14ac:dyDescent="0.3">
      <c r="A175" t="s">
        <v>612</v>
      </c>
      <c r="B175">
        <v>5000</v>
      </c>
      <c r="C175" t="s">
        <v>47</v>
      </c>
      <c r="D175">
        <v>28357</v>
      </c>
      <c r="E175" t="str">
        <f>INDEX(Accounts!$C$2:$C$9,MATCH(B175,Accounts!$A$2:$A$9,0))</f>
        <v>COGS</v>
      </c>
    </row>
    <row r="176" spans="1:5" x14ac:dyDescent="0.3">
      <c r="A176" t="s">
        <v>612</v>
      </c>
      <c r="B176">
        <v>5000</v>
      </c>
      <c r="C176" t="s">
        <v>48</v>
      </c>
      <c r="D176">
        <v>26008</v>
      </c>
      <c r="E176" t="str">
        <f>INDEX(Accounts!$C$2:$C$9,MATCH(B176,Accounts!$A$2:$A$9,0))</f>
        <v>COGS</v>
      </c>
    </row>
    <row r="177" spans="1:5" x14ac:dyDescent="0.3">
      <c r="A177" t="s">
        <v>612</v>
      </c>
      <c r="B177">
        <v>6000</v>
      </c>
      <c r="C177" t="s">
        <v>41</v>
      </c>
      <c r="D177">
        <v>29523</v>
      </c>
      <c r="E177" t="str">
        <f>INDEX(Accounts!$C$2:$C$9,MATCH(B177,Accounts!$A$2:$A$9,0))</f>
        <v>Operating Expense</v>
      </c>
    </row>
    <row r="178" spans="1:5" x14ac:dyDescent="0.3">
      <c r="A178" t="s">
        <v>612</v>
      </c>
      <c r="B178">
        <v>6000</v>
      </c>
      <c r="C178" t="s">
        <v>43</v>
      </c>
      <c r="D178">
        <v>23862</v>
      </c>
      <c r="E178" t="str">
        <f>INDEX(Accounts!$C$2:$C$9,MATCH(B178,Accounts!$A$2:$A$9,0))</f>
        <v>Operating Expense</v>
      </c>
    </row>
    <row r="179" spans="1:5" x14ac:dyDescent="0.3">
      <c r="A179" t="s">
        <v>612</v>
      </c>
      <c r="B179">
        <v>6000</v>
      </c>
      <c r="C179" t="s">
        <v>45</v>
      </c>
      <c r="D179">
        <v>16395</v>
      </c>
      <c r="E179" t="str">
        <f>INDEX(Accounts!$C$2:$C$9,MATCH(B179,Accounts!$A$2:$A$9,0))</f>
        <v>Operating Expense</v>
      </c>
    </row>
    <row r="180" spans="1:5" x14ac:dyDescent="0.3">
      <c r="A180" t="s">
        <v>612</v>
      </c>
      <c r="B180">
        <v>6000</v>
      </c>
      <c r="C180" t="s">
        <v>47</v>
      </c>
      <c r="D180">
        <v>11369</v>
      </c>
      <c r="E180" t="str">
        <f>INDEX(Accounts!$C$2:$C$9,MATCH(B180,Accounts!$A$2:$A$9,0))</f>
        <v>Operating Expense</v>
      </c>
    </row>
    <row r="181" spans="1:5" x14ac:dyDescent="0.3">
      <c r="A181" t="s">
        <v>612</v>
      </c>
      <c r="B181">
        <v>6000</v>
      </c>
      <c r="C181" t="s">
        <v>48</v>
      </c>
      <c r="D181">
        <v>11133</v>
      </c>
      <c r="E181" t="str">
        <f>INDEX(Accounts!$C$2:$C$9,MATCH(B181,Accounts!$A$2:$A$9,0))</f>
        <v>Operating Expense</v>
      </c>
    </row>
    <row r="182" spans="1:5" x14ac:dyDescent="0.3">
      <c r="A182" t="s">
        <v>612</v>
      </c>
      <c r="B182">
        <v>6100</v>
      </c>
      <c r="C182" t="s">
        <v>41</v>
      </c>
      <c r="D182">
        <v>12130</v>
      </c>
      <c r="E182" t="str">
        <f>INDEX(Accounts!$C$2:$C$9,MATCH(B182,Accounts!$A$2:$A$9,0))</f>
        <v>Operating Expense</v>
      </c>
    </row>
    <row r="183" spans="1:5" x14ac:dyDescent="0.3">
      <c r="A183" t="s">
        <v>612</v>
      </c>
      <c r="B183">
        <v>6100</v>
      </c>
      <c r="C183" t="s">
        <v>43</v>
      </c>
      <c r="D183">
        <v>9965</v>
      </c>
      <c r="E183" t="str">
        <f>INDEX(Accounts!$C$2:$C$9,MATCH(B183,Accounts!$A$2:$A$9,0))</f>
        <v>Operating Expense</v>
      </c>
    </row>
    <row r="184" spans="1:5" x14ac:dyDescent="0.3">
      <c r="A184" t="s">
        <v>612</v>
      </c>
      <c r="B184">
        <v>6100</v>
      </c>
      <c r="C184" t="s">
        <v>45</v>
      </c>
      <c r="D184">
        <v>6969</v>
      </c>
      <c r="E184" t="str">
        <f>INDEX(Accounts!$C$2:$C$9,MATCH(B184,Accounts!$A$2:$A$9,0))</f>
        <v>Operating Expense</v>
      </c>
    </row>
    <row r="185" spans="1:5" x14ac:dyDescent="0.3">
      <c r="A185" t="s">
        <v>612</v>
      </c>
      <c r="B185">
        <v>6100</v>
      </c>
      <c r="C185" t="s">
        <v>47</v>
      </c>
      <c r="D185">
        <v>4916</v>
      </c>
      <c r="E185" t="str">
        <f>INDEX(Accounts!$C$2:$C$9,MATCH(B185,Accounts!$A$2:$A$9,0))</f>
        <v>Operating Expense</v>
      </c>
    </row>
    <row r="186" spans="1:5" x14ac:dyDescent="0.3">
      <c r="A186" t="s">
        <v>612</v>
      </c>
      <c r="B186">
        <v>6100</v>
      </c>
      <c r="C186" t="s">
        <v>48</v>
      </c>
      <c r="D186">
        <v>4907</v>
      </c>
      <c r="E186" t="str">
        <f>INDEX(Accounts!$C$2:$C$9,MATCH(B186,Accounts!$A$2:$A$9,0))</f>
        <v>Operating Expense</v>
      </c>
    </row>
    <row r="187" spans="1:5" x14ac:dyDescent="0.3">
      <c r="A187" t="s">
        <v>612</v>
      </c>
      <c r="B187">
        <v>6200</v>
      </c>
      <c r="C187" t="s">
        <v>41</v>
      </c>
      <c r="D187">
        <v>11555</v>
      </c>
      <c r="E187" t="str">
        <f>INDEX(Accounts!$C$2:$C$9,MATCH(B187,Accounts!$A$2:$A$9,0))</f>
        <v>Operating Expense</v>
      </c>
    </row>
    <row r="188" spans="1:5" x14ac:dyDescent="0.3">
      <c r="A188" t="s">
        <v>612</v>
      </c>
      <c r="B188">
        <v>6200</v>
      </c>
      <c r="C188" t="s">
        <v>43</v>
      </c>
      <c r="D188">
        <v>10266</v>
      </c>
      <c r="E188" t="str">
        <f>INDEX(Accounts!$C$2:$C$9,MATCH(B188,Accounts!$A$2:$A$9,0))</f>
        <v>Operating Expense</v>
      </c>
    </row>
    <row r="189" spans="1:5" x14ac:dyDescent="0.3">
      <c r="A189" t="s">
        <v>612</v>
      </c>
      <c r="B189">
        <v>6200</v>
      </c>
      <c r="C189" t="s">
        <v>45</v>
      </c>
      <c r="D189">
        <v>6427</v>
      </c>
      <c r="E189" t="str">
        <f>INDEX(Accounts!$C$2:$C$9,MATCH(B189,Accounts!$A$2:$A$9,0))</f>
        <v>Operating Expense</v>
      </c>
    </row>
    <row r="190" spans="1:5" x14ac:dyDescent="0.3">
      <c r="A190" t="s">
        <v>612</v>
      </c>
      <c r="B190">
        <v>6200</v>
      </c>
      <c r="C190" t="s">
        <v>47</v>
      </c>
      <c r="D190">
        <v>5001</v>
      </c>
      <c r="E190" t="str">
        <f>INDEX(Accounts!$C$2:$C$9,MATCH(B190,Accounts!$A$2:$A$9,0))</f>
        <v>Operating Expense</v>
      </c>
    </row>
    <row r="191" spans="1:5" x14ac:dyDescent="0.3">
      <c r="A191" t="s">
        <v>612</v>
      </c>
      <c r="B191">
        <v>6200</v>
      </c>
      <c r="C191" t="s">
        <v>48</v>
      </c>
      <c r="D191">
        <v>4457</v>
      </c>
      <c r="E191" t="str">
        <f>INDEX(Accounts!$C$2:$C$9,MATCH(B191,Accounts!$A$2:$A$9,0))</f>
        <v>Operating Expense</v>
      </c>
    </row>
    <row r="192" spans="1:5" x14ac:dyDescent="0.3">
      <c r="A192" t="s">
        <v>612</v>
      </c>
      <c r="B192">
        <v>6300</v>
      </c>
      <c r="C192" t="s">
        <v>41</v>
      </c>
      <c r="D192">
        <v>10202</v>
      </c>
      <c r="E192" t="str">
        <f>INDEX(Accounts!$C$2:$C$9,MATCH(B192,Accounts!$A$2:$A$9,0))</f>
        <v>Operating Expense</v>
      </c>
    </row>
    <row r="193" spans="1:5" x14ac:dyDescent="0.3">
      <c r="A193" t="s">
        <v>612</v>
      </c>
      <c r="B193">
        <v>6300</v>
      </c>
      <c r="C193" t="s">
        <v>43</v>
      </c>
      <c r="D193">
        <v>8238</v>
      </c>
      <c r="E193" t="str">
        <f>INDEX(Accounts!$C$2:$C$9,MATCH(B193,Accounts!$A$2:$A$9,0))</f>
        <v>Operating Expense</v>
      </c>
    </row>
    <row r="194" spans="1:5" x14ac:dyDescent="0.3">
      <c r="A194" t="s">
        <v>612</v>
      </c>
      <c r="B194">
        <v>6300</v>
      </c>
      <c r="C194" t="s">
        <v>45</v>
      </c>
      <c r="D194">
        <v>6691</v>
      </c>
      <c r="E194" t="str">
        <f>INDEX(Accounts!$C$2:$C$9,MATCH(B194,Accounts!$A$2:$A$9,0))</f>
        <v>Operating Expense</v>
      </c>
    </row>
    <row r="195" spans="1:5" x14ac:dyDescent="0.3">
      <c r="A195" t="s">
        <v>612</v>
      </c>
      <c r="B195">
        <v>6300</v>
      </c>
      <c r="C195" t="s">
        <v>47</v>
      </c>
      <c r="D195">
        <v>4510</v>
      </c>
      <c r="E195" t="str">
        <f>INDEX(Accounts!$C$2:$C$9,MATCH(B195,Accounts!$A$2:$A$9,0))</f>
        <v>Operating Expense</v>
      </c>
    </row>
    <row r="196" spans="1:5" x14ac:dyDescent="0.3">
      <c r="A196" t="s">
        <v>612</v>
      </c>
      <c r="B196">
        <v>6300</v>
      </c>
      <c r="C196" t="s">
        <v>48</v>
      </c>
      <c r="D196">
        <v>4220</v>
      </c>
      <c r="E196" t="str">
        <f>INDEX(Accounts!$C$2:$C$9,MATCH(B196,Accounts!$A$2:$A$9,0))</f>
        <v>Operating Expense</v>
      </c>
    </row>
    <row r="197" spans="1:5" x14ac:dyDescent="0.3">
      <c r="A197" t="s">
        <v>612</v>
      </c>
      <c r="B197">
        <v>6400</v>
      </c>
      <c r="C197" t="s">
        <v>41</v>
      </c>
      <c r="D197">
        <v>5781</v>
      </c>
      <c r="E197" t="str">
        <f>INDEX(Accounts!$C$2:$C$9,MATCH(B197,Accounts!$A$2:$A$9,0))</f>
        <v>Operating Expense</v>
      </c>
    </row>
    <row r="198" spans="1:5" x14ac:dyDescent="0.3">
      <c r="A198" t="s">
        <v>612</v>
      </c>
      <c r="B198">
        <v>6400</v>
      </c>
      <c r="C198" t="s">
        <v>43</v>
      </c>
      <c r="D198">
        <v>5281</v>
      </c>
      <c r="E198" t="str">
        <f>INDEX(Accounts!$C$2:$C$9,MATCH(B198,Accounts!$A$2:$A$9,0))</f>
        <v>Operating Expense</v>
      </c>
    </row>
    <row r="199" spans="1:5" x14ac:dyDescent="0.3">
      <c r="A199" t="s">
        <v>612</v>
      </c>
      <c r="B199">
        <v>6400</v>
      </c>
      <c r="C199" t="s">
        <v>45</v>
      </c>
      <c r="D199">
        <v>3945</v>
      </c>
      <c r="E199" t="str">
        <f>INDEX(Accounts!$C$2:$C$9,MATCH(B199,Accounts!$A$2:$A$9,0))</f>
        <v>Operating Expense</v>
      </c>
    </row>
    <row r="200" spans="1:5" x14ac:dyDescent="0.3">
      <c r="A200" t="s">
        <v>612</v>
      </c>
      <c r="B200">
        <v>6400</v>
      </c>
      <c r="C200" t="s">
        <v>47</v>
      </c>
      <c r="D200">
        <v>2561</v>
      </c>
      <c r="E200" t="str">
        <f>INDEX(Accounts!$C$2:$C$9,MATCH(B200,Accounts!$A$2:$A$9,0))</f>
        <v>Operating Expense</v>
      </c>
    </row>
    <row r="201" spans="1:5" x14ac:dyDescent="0.3">
      <c r="A201" t="s">
        <v>612</v>
      </c>
      <c r="B201">
        <v>6400</v>
      </c>
      <c r="C201" t="s">
        <v>48</v>
      </c>
      <c r="D201">
        <v>2652</v>
      </c>
      <c r="E201" t="str">
        <f>INDEX(Accounts!$C$2:$C$9,MATCH(B201,Accounts!$A$2:$A$9,0))</f>
        <v>Operating Expense</v>
      </c>
    </row>
    <row r="202" spans="1:5" x14ac:dyDescent="0.3">
      <c r="A202" t="s">
        <v>753</v>
      </c>
      <c r="B202">
        <v>4000</v>
      </c>
      <c r="C202" t="s">
        <v>41</v>
      </c>
      <c r="D202">
        <v>174436</v>
      </c>
      <c r="E202" t="str">
        <f>INDEX(Accounts!$C$2:$C$9,MATCH(B202,Accounts!$A$2:$A$9,0))</f>
        <v>Revenue</v>
      </c>
    </row>
    <row r="203" spans="1:5" x14ac:dyDescent="0.3">
      <c r="A203" t="s">
        <v>753</v>
      </c>
      <c r="B203">
        <v>4000</v>
      </c>
      <c r="C203" t="s">
        <v>43</v>
      </c>
      <c r="D203">
        <v>146528</v>
      </c>
      <c r="E203" t="str">
        <f>INDEX(Accounts!$C$2:$C$9,MATCH(B203,Accounts!$A$2:$A$9,0))</f>
        <v>Revenue</v>
      </c>
    </row>
    <row r="204" spans="1:5" x14ac:dyDescent="0.3">
      <c r="A204" t="s">
        <v>753</v>
      </c>
      <c r="B204">
        <v>4000</v>
      </c>
      <c r="C204" t="s">
        <v>45</v>
      </c>
      <c r="D204">
        <v>100439</v>
      </c>
      <c r="E204" t="str">
        <f>INDEX(Accounts!$C$2:$C$9,MATCH(B204,Accounts!$A$2:$A$9,0))</f>
        <v>Revenue</v>
      </c>
    </row>
    <row r="205" spans="1:5" x14ac:dyDescent="0.3">
      <c r="A205" t="s">
        <v>753</v>
      </c>
      <c r="B205">
        <v>4000</v>
      </c>
      <c r="C205" t="s">
        <v>47</v>
      </c>
      <c r="D205">
        <v>68907</v>
      </c>
      <c r="E205" t="str">
        <f>INDEX(Accounts!$C$2:$C$9,MATCH(B205,Accounts!$A$2:$A$9,0))</f>
        <v>Revenue</v>
      </c>
    </row>
    <row r="206" spans="1:5" x14ac:dyDescent="0.3">
      <c r="A206" t="s">
        <v>753</v>
      </c>
      <c r="B206">
        <v>4000</v>
      </c>
      <c r="C206" t="s">
        <v>48</v>
      </c>
      <c r="D206">
        <v>57326</v>
      </c>
      <c r="E206" t="str">
        <f>INDEX(Accounts!$C$2:$C$9,MATCH(B206,Accounts!$A$2:$A$9,0))</f>
        <v>Revenue</v>
      </c>
    </row>
    <row r="207" spans="1:5" x14ac:dyDescent="0.3">
      <c r="A207" t="s">
        <v>753</v>
      </c>
      <c r="B207">
        <v>4100</v>
      </c>
      <c r="C207" t="s">
        <v>41</v>
      </c>
      <c r="D207">
        <v>8903</v>
      </c>
      <c r="E207" t="str">
        <f>INDEX(Accounts!$C$2:$C$9,MATCH(B207,Accounts!$A$2:$A$9,0))</f>
        <v>Contra Revenue</v>
      </c>
    </row>
    <row r="208" spans="1:5" x14ac:dyDescent="0.3">
      <c r="A208" t="s">
        <v>753</v>
      </c>
      <c r="B208">
        <v>4100</v>
      </c>
      <c r="C208" t="s">
        <v>43</v>
      </c>
      <c r="D208">
        <v>6275</v>
      </c>
      <c r="E208" t="str">
        <f>INDEX(Accounts!$C$2:$C$9,MATCH(B208,Accounts!$A$2:$A$9,0))</f>
        <v>Contra Revenue</v>
      </c>
    </row>
    <row r="209" spans="1:5" x14ac:dyDescent="0.3">
      <c r="A209" t="s">
        <v>753</v>
      </c>
      <c r="B209">
        <v>4100</v>
      </c>
      <c r="C209" t="s">
        <v>45</v>
      </c>
      <c r="D209">
        <v>4894</v>
      </c>
      <c r="E209" t="str">
        <f>INDEX(Accounts!$C$2:$C$9,MATCH(B209,Accounts!$A$2:$A$9,0))</f>
        <v>Contra Revenue</v>
      </c>
    </row>
    <row r="210" spans="1:5" x14ac:dyDescent="0.3">
      <c r="A210" t="s">
        <v>753</v>
      </c>
      <c r="B210">
        <v>4100</v>
      </c>
      <c r="C210" t="s">
        <v>47</v>
      </c>
      <c r="D210">
        <v>3801</v>
      </c>
      <c r="E210" t="str">
        <f>INDEX(Accounts!$C$2:$C$9,MATCH(B210,Accounts!$A$2:$A$9,0))</f>
        <v>Contra Revenue</v>
      </c>
    </row>
    <row r="211" spans="1:5" x14ac:dyDescent="0.3">
      <c r="A211" t="s">
        <v>753</v>
      </c>
      <c r="B211">
        <v>4100</v>
      </c>
      <c r="C211" t="s">
        <v>48</v>
      </c>
      <c r="D211">
        <v>3612</v>
      </c>
      <c r="E211" t="str">
        <f>INDEX(Accounts!$C$2:$C$9,MATCH(B211,Accounts!$A$2:$A$9,0))</f>
        <v>Contra Revenue</v>
      </c>
    </row>
    <row r="212" spans="1:5" x14ac:dyDescent="0.3">
      <c r="A212" t="s">
        <v>753</v>
      </c>
      <c r="B212">
        <v>5000</v>
      </c>
      <c r="C212" t="s">
        <v>41</v>
      </c>
      <c r="D212">
        <v>59617</v>
      </c>
      <c r="E212" t="str">
        <f>INDEX(Accounts!$C$2:$C$9,MATCH(B212,Accounts!$A$2:$A$9,0))</f>
        <v>COGS</v>
      </c>
    </row>
    <row r="213" spans="1:5" x14ac:dyDescent="0.3">
      <c r="A213" t="s">
        <v>753</v>
      </c>
      <c r="B213">
        <v>5000</v>
      </c>
      <c r="C213" t="s">
        <v>43</v>
      </c>
      <c r="D213">
        <v>56752</v>
      </c>
      <c r="E213" t="str">
        <f>INDEX(Accounts!$C$2:$C$9,MATCH(B213,Accounts!$A$2:$A$9,0))</f>
        <v>COGS</v>
      </c>
    </row>
    <row r="214" spans="1:5" x14ac:dyDescent="0.3">
      <c r="A214" t="s">
        <v>753</v>
      </c>
      <c r="B214">
        <v>5000</v>
      </c>
      <c r="C214" t="s">
        <v>45</v>
      </c>
      <c r="D214">
        <v>41948</v>
      </c>
      <c r="E214" t="str">
        <f>INDEX(Accounts!$C$2:$C$9,MATCH(B214,Accounts!$A$2:$A$9,0))</f>
        <v>COGS</v>
      </c>
    </row>
    <row r="215" spans="1:5" x14ac:dyDescent="0.3">
      <c r="A215" t="s">
        <v>753</v>
      </c>
      <c r="B215">
        <v>5000</v>
      </c>
      <c r="C215" t="s">
        <v>47</v>
      </c>
      <c r="D215">
        <v>27706</v>
      </c>
      <c r="E215" t="str">
        <f>INDEX(Accounts!$C$2:$C$9,MATCH(B215,Accounts!$A$2:$A$9,0))</f>
        <v>COGS</v>
      </c>
    </row>
    <row r="216" spans="1:5" x14ac:dyDescent="0.3">
      <c r="A216" t="s">
        <v>753</v>
      </c>
      <c r="B216">
        <v>5000</v>
      </c>
      <c r="C216" t="s">
        <v>48</v>
      </c>
      <c r="D216">
        <v>23702</v>
      </c>
      <c r="E216" t="str">
        <f>INDEX(Accounts!$C$2:$C$9,MATCH(B216,Accounts!$A$2:$A$9,0))</f>
        <v>COGS</v>
      </c>
    </row>
    <row r="217" spans="1:5" x14ac:dyDescent="0.3">
      <c r="A217" t="s">
        <v>753</v>
      </c>
      <c r="B217">
        <v>6000</v>
      </c>
      <c r="C217" t="s">
        <v>41</v>
      </c>
      <c r="D217">
        <v>26828</v>
      </c>
      <c r="E217" t="str">
        <f>INDEX(Accounts!$C$2:$C$9,MATCH(B217,Accounts!$A$2:$A$9,0))</f>
        <v>Operating Expense</v>
      </c>
    </row>
    <row r="218" spans="1:5" x14ac:dyDescent="0.3">
      <c r="A218" t="s">
        <v>753</v>
      </c>
      <c r="B218">
        <v>6000</v>
      </c>
      <c r="C218" t="s">
        <v>43</v>
      </c>
      <c r="D218">
        <v>24746</v>
      </c>
      <c r="E218" t="str">
        <f>INDEX(Accounts!$C$2:$C$9,MATCH(B218,Accounts!$A$2:$A$9,0))</f>
        <v>Operating Expense</v>
      </c>
    </row>
    <row r="219" spans="1:5" x14ac:dyDescent="0.3">
      <c r="A219" t="s">
        <v>753</v>
      </c>
      <c r="B219">
        <v>6000</v>
      </c>
      <c r="C219" t="s">
        <v>45</v>
      </c>
      <c r="D219">
        <v>16552</v>
      </c>
      <c r="E219" t="str">
        <f>INDEX(Accounts!$C$2:$C$9,MATCH(B219,Accounts!$A$2:$A$9,0))</f>
        <v>Operating Expense</v>
      </c>
    </row>
    <row r="220" spans="1:5" x14ac:dyDescent="0.3">
      <c r="A220" t="s">
        <v>753</v>
      </c>
      <c r="B220">
        <v>6000</v>
      </c>
      <c r="C220" t="s">
        <v>47</v>
      </c>
      <c r="D220">
        <v>12255</v>
      </c>
      <c r="E220" t="str">
        <f>INDEX(Accounts!$C$2:$C$9,MATCH(B220,Accounts!$A$2:$A$9,0))</f>
        <v>Operating Expense</v>
      </c>
    </row>
    <row r="221" spans="1:5" x14ac:dyDescent="0.3">
      <c r="A221" t="s">
        <v>753</v>
      </c>
      <c r="B221">
        <v>6000</v>
      </c>
      <c r="C221" t="s">
        <v>48</v>
      </c>
      <c r="D221">
        <v>11036</v>
      </c>
      <c r="E221" t="str">
        <f>INDEX(Accounts!$C$2:$C$9,MATCH(B221,Accounts!$A$2:$A$9,0))</f>
        <v>Operating Expense</v>
      </c>
    </row>
    <row r="222" spans="1:5" x14ac:dyDescent="0.3">
      <c r="A222" t="s">
        <v>753</v>
      </c>
      <c r="B222">
        <v>6100</v>
      </c>
      <c r="C222" t="s">
        <v>41</v>
      </c>
      <c r="D222">
        <v>12605</v>
      </c>
      <c r="E222" t="str">
        <f>INDEX(Accounts!$C$2:$C$9,MATCH(B222,Accounts!$A$2:$A$9,0))</f>
        <v>Operating Expense</v>
      </c>
    </row>
    <row r="223" spans="1:5" x14ac:dyDescent="0.3">
      <c r="A223" t="s">
        <v>753</v>
      </c>
      <c r="B223">
        <v>6100</v>
      </c>
      <c r="C223" t="s">
        <v>43</v>
      </c>
      <c r="D223">
        <v>9901</v>
      </c>
      <c r="E223" t="str">
        <f>INDEX(Accounts!$C$2:$C$9,MATCH(B223,Accounts!$A$2:$A$9,0))</f>
        <v>Operating Expense</v>
      </c>
    </row>
    <row r="224" spans="1:5" x14ac:dyDescent="0.3">
      <c r="A224" t="s">
        <v>753</v>
      </c>
      <c r="B224">
        <v>6100</v>
      </c>
      <c r="C224" t="s">
        <v>45</v>
      </c>
      <c r="D224">
        <v>7918</v>
      </c>
      <c r="E224" t="str">
        <f>INDEX(Accounts!$C$2:$C$9,MATCH(B224,Accounts!$A$2:$A$9,0))</f>
        <v>Operating Expense</v>
      </c>
    </row>
    <row r="225" spans="1:5" x14ac:dyDescent="0.3">
      <c r="A225" t="s">
        <v>753</v>
      </c>
      <c r="B225">
        <v>6100</v>
      </c>
      <c r="C225" t="s">
        <v>47</v>
      </c>
      <c r="D225">
        <v>5620</v>
      </c>
      <c r="E225" t="str">
        <f>INDEX(Accounts!$C$2:$C$9,MATCH(B225,Accounts!$A$2:$A$9,0))</f>
        <v>Operating Expense</v>
      </c>
    </row>
    <row r="226" spans="1:5" x14ac:dyDescent="0.3">
      <c r="A226" t="s">
        <v>753</v>
      </c>
      <c r="B226">
        <v>6100</v>
      </c>
      <c r="C226" t="s">
        <v>48</v>
      </c>
      <c r="D226">
        <v>4577</v>
      </c>
      <c r="E226" t="str">
        <f>INDEX(Accounts!$C$2:$C$9,MATCH(B226,Accounts!$A$2:$A$9,0))</f>
        <v>Operating Expense</v>
      </c>
    </row>
    <row r="227" spans="1:5" x14ac:dyDescent="0.3">
      <c r="A227" t="s">
        <v>753</v>
      </c>
      <c r="B227">
        <v>6200</v>
      </c>
      <c r="C227" t="s">
        <v>41</v>
      </c>
      <c r="D227">
        <v>10212</v>
      </c>
      <c r="E227" t="str">
        <f>INDEX(Accounts!$C$2:$C$9,MATCH(B227,Accounts!$A$2:$A$9,0))</f>
        <v>Operating Expense</v>
      </c>
    </row>
    <row r="228" spans="1:5" x14ac:dyDescent="0.3">
      <c r="A228" t="s">
        <v>753</v>
      </c>
      <c r="B228">
        <v>6200</v>
      </c>
      <c r="C228" t="s">
        <v>43</v>
      </c>
      <c r="D228">
        <v>10424</v>
      </c>
      <c r="E228" t="str">
        <f>INDEX(Accounts!$C$2:$C$9,MATCH(B228,Accounts!$A$2:$A$9,0))</f>
        <v>Operating Expense</v>
      </c>
    </row>
    <row r="229" spans="1:5" x14ac:dyDescent="0.3">
      <c r="A229" t="s">
        <v>753</v>
      </c>
      <c r="B229">
        <v>6200</v>
      </c>
      <c r="C229" t="s">
        <v>45</v>
      </c>
      <c r="D229">
        <v>7188</v>
      </c>
      <c r="E229" t="str">
        <f>INDEX(Accounts!$C$2:$C$9,MATCH(B229,Accounts!$A$2:$A$9,0))</f>
        <v>Operating Expense</v>
      </c>
    </row>
    <row r="230" spans="1:5" x14ac:dyDescent="0.3">
      <c r="A230" t="s">
        <v>753</v>
      </c>
      <c r="B230">
        <v>6200</v>
      </c>
      <c r="C230" t="s">
        <v>47</v>
      </c>
      <c r="D230">
        <v>5247</v>
      </c>
      <c r="E230" t="str">
        <f>INDEX(Accounts!$C$2:$C$9,MATCH(B230,Accounts!$A$2:$A$9,0))</f>
        <v>Operating Expense</v>
      </c>
    </row>
    <row r="231" spans="1:5" x14ac:dyDescent="0.3">
      <c r="A231" t="s">
        <v>753</v>
      </c>
      <c r="B231">
        <v>6200</v>
      </c>
      <c r="C231" t="s">
        <v>48</v>
      </c>
      <c r="D231">
        <v>4608</v>
      </c>
      <c r="E231" t="str">
        <f>INDEX(Accounts!$C$2:$C$9,MATCH(B231,Accounts!$A$2:$A$9,0))</f>
        <v>Operating Expense</v>
      </c>
    </row>
    <row r="232" spans="1:5" x14ac:dyDescent="0.3">
      <c r="A232" t="s">
        <v>753</v>
      </c>
      <c r="B232">
        <v>6300</v>
      </c>
      <c r="C232" t="s">
        <v>41</v>
      </c>
      <c r="D232">
        <v>9135</v>
      </c>
      <c r="E232" t="str">
        <f>INDEX(Accounts!$C$2:$C$9,MATCH(B232,Accounts!$A$2:$A$9,0))</f>
        <v>Operating Expense</v>
      </c>
    </row>
    <row r="233" spans="1:5" x14ac:dyDescent="0.3">
      <c r="A233" t="s">
        <v>753</v>
      </c>
      <c r="B233">
        <v>6300</v>
      </c>
      <c r="C233" t="s">
        <v>43</v>
      </c>
      <c r="D233">
        <v>8434</v>
      </c>
      <c r="E233" t="str">
        <f>INDEX(Accounts!$C$2:$C$9,MATCH(B233,Accounts!$A$2:$A$9,0))</f>
        <v>Operating Expense</v>
      </c>
    </row>
    <row r="234" spans="1:5" x14ac:dyDescent="0.3">
      <c r="A234" t="s">
        <v>753</v>
      </c>
      <c r="B234">
        <v>6300</v>
      </c>
      <c r="C234" t="s">
        <v>45</v>
      </c>
      <c r="D234">
        <v>5623</v>
      </c>
      <c r="E234" t="str">
        <f>INDEX(Accounts!$C$2:$C$9,MATCH(B234,Accounts!$A$2:$A$9,0))</f>
        <v>Operating Expense</v>
      </c>
    </row>
    <row r="235" spans="1:5" x14ac:dyDescent="0.3">
      <c r="A235" t="s">
        <v>753</v>
      </c>
      <c r="B235">
        <v>6300</v>
      </c>
      <c r="C235" t="s">
        <v>47</v>
      </c>
      <c r="D235">
        <v>4010</v>
      </c>
      <c r="E235" t="str">
        <f>INDEX(Accounts!$C$2:$C$9,MATCH(B235,Accounts!$A$2:$A$9,0))</f>
        <v>Operating Expense</v>
      </c>
    </row>
    <row r="236" spans="1:5" x14ac:dyDescent="0.3">
      <c r="A236" t="s">
        <v>753</v>
      </c>
      <c r="B236">
        <v>6300</v>
      </c>
      <c r="C236" t="s">
        <v>48</v>
      </c>
      <c r="D236">
        <v>4472</v>
      </c>
      <c r="E236" t="str">
        <f>INDEX(Accounts!$C$2:$C$9,MATCH(B236,Accounts!$A$2:$A$9,0))</f>
        <v>Operating Expense</v>
      </c>
    </row>
    <row r="237" spans="1:5" x14ac:dyDescent="0.3">
      <c r="A237" t="s">
        <v>753</v>
      </c>
      <c r="B237">
        <v>6400</v>
      </c>
      <c r="C237" t="s">
        <v>41</v>
      </c>
      <c r="D237">
        <v>6737</v>
      </c>
      <c r="E237" t="str">
        <f>INDEX(Accounts!$C$2:$C$9,MATCH(B237,Accounts!$A$2:$A$9,0))</f>
        <v>Operating Expense</v>
      </c>
    </row>
    <row r="238" spans="1:5" x14ac:dyDescent="0.3">
      <c r="A238" t="s">
        <v>753</v>
      </c>
      <c r="B238">
        <v>6400</v>
      </c>
      <c r="C238" t="s">
        <v>43</v>
      </c>
      <c r="D238">
        <v>5446</v>
      </c>
      <c r="E238" t="str">
        <f>INDEX(Accounts!$C$2:$C$9,MATCH(B238,Accounts!$A$2:$A$9,0))</f>
        <v>Operating Expense</v>
      </c>
    </row>
    <row r="239" spans="1:5" x14ac:dyDescent="0.3">
      <c r="A239" t="s">
        <v>753</v>
      </c>
      <c r="B239">
        <v>6400</v>
      </c>
      <c r="C239" t="s">
        <v>45</v>
      </c>
      <c r="D239">
        <v>3612</v>
      </c>
      <c r="E239" t="str">
        <f>INDEX(Accounts!$C$2:$C$9,MATCH(B239,Accounts!$A$2:$A$9,0))</f>
        <v>Operating Expense</v>
      </c>
    </row>
    <row r="240" spans="1:5" x14ac:dyDescent="0.3">
      <c r="A240" t="s">
        <v>753</v>
      </c>
      <c r="B240">
        <v>6400</v>
      </c>
      <c r="C240" t="s">
        <v>47</v>
      </c>
      <c r="D240">
        <v>2525</v>
      </c>
      <c r="E240" t="str">
        <f>INDEX(Accounts!$C$2:$C$9,MATCH(B240,Accounts!$A$2:$A$9,0))</f>
        <v>Operating Expense</v>
      </c>
    </row>
    <row r="241" spans="1:5" x14ac:dyDescent="0.3">
      <c r="A241" t="s">
        <v>753</v>
      </c>
      <c r="B241">
        <v>6400</v>
      </c>
      <c r="C241" t="s">
        <v>48</v>
      </c>
      <c r="D241">
        <v>2528</v>
      </c>
      <c r="E241" t="str">
        <f>INDEX(Accounts!$C$2:$C$9,MATCH(B241,Accounts!$A$2:$A$9,0))</f>
        <v>Operating Expense</v>
      </c>
    </row>
    <row r="242" spans="1:5" x14ac:dyDescent="0.3">
      <c r="A242" t="s">
        <v>893</v>
      </c>
      <c r="B242">
        <v>4000</v>
      </c>
      <c r="C242" t="s">
        <v>41</v>
      </c>
      <c r="D242">
        <v>169893</v>
      </c>
      <c r="E242" t="str">
        <f>INDEX(Accounts!$C$2:$C$9,MATCH(B242,Accounts!$A$2:$A$9,0))</f>
        <v>Revenue</v>
      </c>
    </row>
    <row r="243" spans="1:5" x14ac:dyDescent="0.3">
      <c r="A243" t="s">
        <v>893</v>
      </c>
      <c r="B243">
        <v>4000</v>
      </c>
      <c r="C243" t="s">
        <v>43</v>
      </c>
      <c r="D243">
        <v>126148</v>
      </c>
      <c r="E243" t="str">
        <f>INDEX(Accounts!$C$2:$C$9,MATCH(B243,Accounts!$A$2:$A$9,0))</f>
        <v>Revenue</v>
      </c>
    </row>
    <row r="244" spans="1:5" x14ac:dyDescent="0.3">
      <c r="A244" t="s">
        <v>893</v>
      </c>
      <c r="B244">
        <v>4000</v>
      </c>
      <c r="C244" t="s">
        <v>45</v>
      </c>
      <c r="D244">
        <v>87109</v>
      </c>
      <c r="E244" t="str">
        <f>INDEX(Accounts!$C$2:$C$9,MATCH(B244,Accounts!$A$2:$A$9,0))</f>
        <v>Revenue</v>
      </c>
    </row>
    <row r="245" spans="1:5" x14ac:dyDescent="0.3">
      <c r="A245" t="s">
        <v>893</v>
      </c>
      <c r="B245">
        <v>4000</v>
      </c>
      <c r="C245" t="s">
        <v>47</v>
      </c>
      <c r="D245">
        <v>66125</v>
      </c>
      <c r="E245" t="str">
        <f>INDEX(Accounts!$C$2:$C$9,MATCH(B245,Accounts!$A$2:$A$9,0))</f>
        <v>Revenue</v>
      </c>
    </row>
    <row r="246" spans="1:5" x14ac:dyDescent="0.3">
      <c r="A246" t="s">
        <v>893</v>
      </c>
      <c r="B246">
        <v>4000</v>
      </c>
      <c r="C246" t="s">
        <v>48</v>
      </c>
      <c r="D246">
        <v>68046</v>
      </c>
      <c r="E246" t="str">
        <f>INDEX(Accounts!$C$2:$C$9,MATCH(B246,Accounts!$A$2:$A$9,0))</f>
        <v>Revenue</v>
      </c>
    </row>
    <row r="247" spans="1:5" x14ac:dyDescent="0.3">
      <c r="A247" t="s">
        <v>893</v>
      </c>
      <c r="B247">
        <v>4100</v>
      </c>
      <c r="C247" t="s">
        <v>41</v>
      </c>
      <c r="D247">
        <v>7338</v>
      </c>
      <c r="E247" t="str">
        <f>INDEX(Accounts!$C$2:$C$9,MATCH(B247,Accounts!$A$2:$A$9,0))</f>
        <v>Contra Revenue</v>
      </c>
    </row>
    <row r="248" spans="1:5" x14ac:dyDescent="0.3">
      <c r="A248" t="s">
        <v>893</v>
      </c>
      <c r="B248">
        <v>4100</v>
      </c>
      <c r="C248" t="s">
        <v>43</v>
      </c>
      <c r="D248">
        <v>6310</v>
      </c>
      <c r="E248" t="str">
        <f>INDEX(Accounts!$C$2:$C$9,MATCH(B248,Accounts!$A$2:$A$9,0))</f>
        <v>Contra Revenue</v>
      </c>
    </row>
    <row r="249" spans="1:5" x14ac:dyDescent="0.3">
      <c r="A249" t="s">
        <v>893</v>
      </c>
      <c r="B249">
        <v>4100</v>
      </c>
      <c r="C249" t="s">
        <v>45</v>
      </c>
      <c r="D249">
        <v>4575</v>
      </c>
      <c r="E249" t="str">
        <f>INDEX(Accounts!$C$2:$C$9,MATCH(B249,Accounts!$A$2:$A$9,0))</f>
        <v>Contra Revenue</v>
      </c>
    </row>
    <row r="250" spans="1:5" x14ac:dyDescent="0.3">
      <c r="A250" t="s">
        <v>893</v>
      </c>
      <c r="B250">
        <v>4100</v>
      </c>
      <c r="C250" t="s">
        <v>47</v>
      </c>
      <c r="D250">
        <v>3683</v>
      </c>
      <c r="E250" t="str">
        <f>INDEX(Accounts!$C$2:$C$9,MATCH(B250,Accounts!$A$2:$A$9,0))</f>
        <v>Contra Revenue</v>
      </c>
    </row>
    <row r="251" spans="1:5" x14ac:dyDescent="0.3">
      <c r="A251" t="s">
        <v>893</v>
      </c>
      <c r="B251">
        <v>4100</v>
      </c>
      <c r="C251" t="s">
        <v>48</v>
      </c>
      <c r="D251">
        <v>3033</v>
      </c>
      <c r="E251" t="str">
        <f>INDEX(Accounts!$C$2:$C$9,MATCH(B251,Accounts!$A$2:$A$9,0))</f>
        <v>Contra Revenue</v>
      </c>
    </row>
    <row r="252" spans="1:5" x14ac:dyDescent="0.3">
      <c r="A252" t="s">
        <v>893</v>
      </c>
      <c r="B252">
        <v>5000</v>
      </c>
      <c r="C252" t="s">
        <v>41</v>
      </c>
      <c r="D252">
        <v>64887</v>
      </c>
      <c r="E252" t="str">
        <f>INDEX(Accounts!$C$2:$C$9,MATCH(B252,Accounts!$A$2:$A$9,0))</f>
        <v>COGS</v>
      </c>
    </row>
    <row r="253" spans="1:5" x14ac:dyDescent="0.3">
      <c r="A253" t="s">
        <v>893</v>
      </c>
      <c r="B253">
        <v>5000</v>
      </c>
      <c r="C253" t="s">
        <v>43</v>
      </c>
      <c r="D253">
        <v>58844</v>
      </c>
      <c r="E253" t="str">
        <f>INDEX(Accounts!$C$2:$C$9,MATCH(B253,Accounts!$A$2:$A$9,0))</f>
        <v>COGS</v>
      </c>
    </row>
    <row r="254" spans="1:5" x14ac:dyDescent="0.3">
      <c r="A254" t="s">
        <v>893</v>
      </c>
      <c r="B254">
        <v>5000</v>
      </c>
      <c r="C254" t="s">
        <v>45</v>
      </c>
      <c r="D254">
        <v>37342</v>
      </c>
      <c r="E254" t="str">
        <f>INDEX(Accounts!$C$2:$C$9,MATCH(B254,Accounts!$A$2:$A$9,0))</f>
        <v>COGS</v>
      </c>
    </row>
    <row r="255" spans="1:5" x14ac:dyDescent="0.3">
      <c r="A255" t="s">
        <v>893</v>
      </c>
      <c r="B255">
        <v>5000</v>
      </c>
      <c r="C255" t="s">
        <v>47</v>
      </c>
      <c r="D255">
        <v>30149</v>
      </c>
      <c r="E255" t="str">
        <f>INDEX(Accounts!$C$2:$C$9,MATCH(B255,Accounts!$A$2:$A$9,0))</f>
        <v>COGS</v>
      </c>
    </row>
    <row r="256" spans="1:5" x14ac:dyDescent="0.3">
      <c r="A256" t="s">
        <v>893</v>
      </c>
      <c r="B256">
        <v>5000</v>
      </c>
      <c r="C256" t="s">
        <v>48</v>
      </c>
      <c r="D256">
        <v>26174</v>
      </c>
      <c r="E256" t="str">
        <f>INDEX(Accounts!$C$2:$C$9,MATCH(B256,Accounts!$A$2:$A$9,0))</f>
        <v>COGS</v>
      </c>
    </row>
    <row r="257" spans="1:5" x14ac:dyDescent="0.3">
      <c r="A257" t="s">
        <v>893</v>
      </c>
      <c r="B257">
        <v>6000</v>
      </c>
      <c r="C257" t="s">
        <v>41</v>
      </c>
      <c r="D257">
        <v>29586</v>
      </c>
      <c r="E257" t="str">
        <f>INDEX(Accounts!$C$2:$C$9,MATCH(B257,Accounts!$A$2:$A$9,0))</f>
        <v>Operating Expense</v>
      </c>
    </row>
    <row r="258" spans="1:5" x14ac:dyDescent="0.3">
      <c r="A258" t="s">
        <v>893</v>
      </c>
      <c r="B258">
        <v>6000</v>
      </c>
      <c r="C258" t="s">
        <v>43</v>
      </c>
      <c r="D258">
        <v>25171</v>
      </c>
      <c r="E258" t="str">
        <f>INDEX(Accounts!$C$2:$C$9,MATCH(B258,Accounts!$A$2:$A$9,0))</f>
        <v>Operating Expense</v>
      </c>
    </row>
    <row r="259" spans="1:5" x14ac:dyDescent="0.3">
      <c r="A259" t="s">
        <v>893</v>
      </c>
      <c r="B259">
        <v>6000</v>
      </c>
      <c r="C259" t="s">
        <v>45</v>
      </c>
      <c r="D259">
        <v>16095</v>
      </c>
      <c r="E259" t="str">
        <f>INDEX(Accounts!$C$2:$C$9,MATCH(B259,Accounts!$A$2:$A$9,0))</f>
        <v>Operating Expense</v>
      </c>
    </row>
    <row r="260" spans="1:5" x14ac:dyDescent="0.3">
      <c r="A260" t="s">
        <v>893</v>
      </c>
      <c r="B260">
        <v>6000</v>
      </c>
      <c r="C260" t="s">
        <v>47</v>
      </c>
      <c r="D260">
        <v>11115</v>
      </c>
      <c r="E260" t="str">
        <f>INDEX(Accounts!$C$2:$C$9,MATCH(B260,Accounts!$A$2:$A$9,0))</f>
        <v>Operating Expense</v>
      </c>
    </row>
    <row r="261" spans="1:5" x14ac:dyDescent="0.3">
      <c r="A261" t="s">
        <v>893</v>
      </c>
      <c r="B261">
        <v>6000</v>
      </c>
      <c r="C261" t="s">
        <v>48</v>
      </c>
      <c r="D261">
        <v>10251</v>
      </c>
      <c r="E261" t="str">
        <f>INDEX(Accounts!$C$2:$C$9,MATCH(B261,Accounts!$A$2:$A$9,0))</f>
        <v>Operating Expense</v>
      </c>
    </row>
    <row r="262" spans="1:5" x14ac:dyDescent="0.3">
      <c r="A262" t="s">
        <v>893</v>
      </c>
      <c r="B262">
        <v>6100</v>
      </c>
      <c r="C262" t="s">
        <v>41</v>
      </c>
      <c r="D262">
        <v>13127</v>
      </c>
      <c r="E262" t="str">
        <f>INDEX(Accounts!$C$2:$C$9,MATCH(B262,Accounts!$A$2:$A$9,0))</f>
        <v>Operating Expense</v>
      </c>
    </row>
    <row r="263" spans="1:5" x14ac:dyDescent="0.3">
      <c r="A263" t="s">
        <v>893</v>
      </c>
      <c r="B263">
        <v>6100</v>
      </c>
      <c r="C263" t="s">
        <v>43</v>
      </c>
      <c r="D263">
        <v>9316</v>
      </c>
      <c r="E263" t="str">
        <f>INDEX(Accounts!$C$2:$C$9,MATCH(B263,Accounts!$A$2:$A$9,0))</f>
        <v>Operating Expense</v>
      </c>
    </row>
    <row r="264" spans="1:5" x14ac:dyDescent="0.3">
      <c r="A264" t="s">
        <v>893</v>
      </c>
      <c r="B264">
        <v>6100</v>
      </c>
      <c r="C264" t="s">
        <v>45</v>
      </c>
      <c r="D264">
        <v>7190</v>
      </c>
      <c r="E264" t="str">
        <f>INDEX(Accounts!$C$2:$C$9,MATCH(B264,Accounts!$A$2:$A$9,0))</f>
        <v>Operating Expense</v>
      </c>
    </row>
    <row r="265" spans="1:5" x14ac:dyDescent="0.3">
      <c r="A265" t="s">
        <v>893</v>
      </c>
      <c r="B265">
        <v>6100</v>
      </c>
      <c r="C265" t="s">
        <v>47</v>
      </c>
      <c r="D265">
        <v>5845</v>
      </c>
      <c r="E265" t="str">
        <f>INDEX(Accounts!$C$2:$C$9,MATCH(B265,Accounts!$A$2:$A$9,0))</f>
        <v>Operating Expense</v>
      </c>
    </row>
    <row r="266" spans="1:5" x14ac:dyDescent="0.3">
      <c r="A266" t="s">
        <v>893</v>
      </c>
      <c r="B266">
        <v>6100</v>
      </c>
      <c r="C266" t="s">
        <v>48</v>
      </c>
      <c r="D266">
        <v>5080</v>
      </c>
      <c r="E266" t="str">
        <f>INDEX(Accounts!$C$2:$C$9,MATCH(B266,Accounts!$A$2:$A$9,0))</f>
        <v>Operating Expense</v>
      </c>
    </row>
    <row r="267" spans="1:5" x14ac:dyDescent="0.3">
      <c r="A267" t="s">
        <v>893</v>
      </c>
      <c r="B267">
        <v>6200</v>
      </c>
      <c r="C267" t="s">
        <v>41</v>
      </c>
      <c r="D267">
        <v>10714</v>
      </c>
      <c r="E267" t="str">
        <f>INDEX(Accounts!$C$2:$C$9,MATCH(B267,Accounts!$A$2:$A$9,0))</f>
        <v>Operating Expense</v>
      </c>
    </row>
    <row r="268" spans="1:5" x14ac:dyDescent="0.3">
      <c r="A268" t="s">
        <v>893</v>
      </c>
      <c r="B268">
        <v>6200</v>
      </c>
      <c r="C268" t="s">
        <v>43</v>
      </c>
      <c r="D268">
        <v>9420</v>
      </c>
      <c r="E268" t="str">
        <f>INDEX(Accounts!$C$2:$C$9,MATCH(B268,Accounts!$A$2:$A$9,0))</f>
        <v>Operating Expense</v>
      </c>
    </row>
    <row r="269" spans="1:5" x14ac:dyDescent="0.3">
      <c r="A269" t="s">
        <v>893</v>
      </c>
      <c r="B269">
        <v>6200</v>
      </c>
      <c r="C269" t="s">
        <v>45</v>
      </c>
      <c r="D269">
        <v>7022</v>
      </c>
      <c r="E269" t="str">
        <f>INDEX(Accounts!$C$2:$C$9,MATCH(B269,Accounts!$A$2:$A$9,0))</f>
        <v>Operating Expense</v>
      </c>
    </row>
    <row r="270" spans="1:5" x14ac:dyDescent="0.3">
      <c r="A270" t="s">
        <v>893</v>
      </c>
      <c r="B270">
        <v>6200</v>
      </c>
      <c r="C270" t="s">
        <v>47</v>
      </c>
      <c r="D270">
        <v>4685</v>
      </c>
      <c r="E270" t="str">
        <f>INDEX(Accounts!$C$2:$C$9,MATCH(B270,Accounts!$A$2:$A$9,0))</f>
        <v>Operating Expense</v>
      </c>
    </row>
    <row r="271" spans="1:5" x14ac:dyDescent="0.3">
      <c r="A271" t="s">
        <v>893</v>
      </c>
      <c r="B271">
        <v>6200</v>
      </c>
      <c r="C271" t="s">
        <v>48</v>
      </c>
      <c r="D271">
        <v>4777</v>
      </c>
      <c r="E271" t="str">
        <f>INDEX(Accounts!$C$2:$C$9,MATCH(B271,Accounts!$A$2:$A$9,0))</f>
        <v>Operating Expense</v>
      </c>
    </row>
    <row r="272" spans="1:5" x14ac:dyDescent="0.3">
      <c r="A272" t="s">
        <v>893</v>
      </c>
      <c r="B272">
        <v>6300</v>
      </c>
      <c r="C272" t="s">
        <v>41</v>
      </c>
      <c r="D272">
        <v>9759</v>
      </c>
      <c r="E272" t="str">
        <f>INDEX(Accounts!$C$2:$C$9,MATCH(B272,Accounts!$A$2:$A$9,0))</f>
        <v>Operating Expense</v>
      </c>
    </row>
    <row r="273" spans="1:5" x14ac:dyDescent="0.3">
      <c r="A273" t="s">
        <v>893</v>
      </c>
      <c r="B273">
        <v>6300</v>
      </c>
      <c r="C273" t="s">
        <v>43</v>
      </c>
      <c r="D273">
        <v>8747</v>
      </c>
      <c r="E273" t="str">
        <f>INDEX(Accounts!$C$2:$C$9,MATCH(B273,Accounts!$A$2:$A$9,0))</f>
        <v>Operating Expense</v>
      </c>
    </row>
    <row r="274" spans="1:5" x14ac:dyDescent="0.3">
      <c r="A274" t="s">
        <v>893</v>
      </c>
      <c r="B274">
        <v>6300</v>
      </c>
      <c r="C274" t="s">
        <v>45</v>
      </c>
      <c r="D274">
        <v>6397</v>
      </c>
      <c r="E274" t="str">
        <f>INDEX(Accounts!$C$2:$C$9,MATCH(B274,Accounts!$A$2:$A$9,0))</f>
        <v>Operating Expense</v>
      </c>
    </row>
    <row r="275" spans="1:5" x14ac:dyDescent="0.3">
      <c r="A275" t="s">
        <v>893</v>
      </c>
      <c r="B275">
        <v>6300</v>
      </c>
      <c r="C275" t="s">
        <v>47</v>
      </c>
      <c r="D275">
        <v>4072</v>
      </c>
      <c r="E275" t="str">
        <f>INDEX(Accounts!$C$2:$C$9,MATCH(B275,Accounts!$A$2:$A$9,0))</f>
        <v>Operating Expense</v>
      </c>
    </row>
    <row r="276" spans="1:5" x14ac:dyDescent="0.3">
      <c r="A276" t="s">
        <v>893</v>
      </c>
      <c r="B276">
        <v>6300</v>
      </c>
      <c r="C276" t="s">
        <v>48</v>
      </c>
      <c r="D276">
        <v>3747</v>
      </c>
      <c r="E276" t="str">
        <f>INDEX(Accounts!$C$2:$C$9,MATCH(B276,Accounts!$A$2:$A$9,0))</f>
        <v>Operating Expense</v>
      </c>
    </row>
    <row r="277" spans="1:5" x14ac:dyDescent="0.3">
      <c r="A277" t="s">
        <v>893</v>
      </c>
      <c r="B277">
        <v>6400</v>
      </c>
      <c r="C277" t="s">
        <v>41</v>
      </c>
      <c r="D277">
        <v>6173</v>
      </c>
      <c r="E277" t="str">
        <f>INDEX(Accounts!$C$2:$C$9,MATCH(B277,Accounts!$A$2:$A$9,0))</f>
        <v>Operating Expense</v>
      </c>
    </row>
    <row r="278" spans="1:5" x14ac:dyDescent="0.3">
      <c r="A278" t="s">
        <v>893</v>
      </c>
      <c r="B278">
        <v>6400</v>
      </c>
      <c r="C278" t="s">
        <v>43</v>
      </c>
      <c r="D278">
        <v>5073</v>
      </c>
      <c r="E278" t="str">
        <f>INDEX(Accounts!$C$2:$C$9,MATCH(B278,Accounts!$A$2:$A$9,0))</f>
        <v>Operating Expense</v>
      </c>
    </row>
    <row r="279" spans="1:5" x14ac:dyDescent="0.3">
      <c r="A279" t="s">
        <v>893</v>
      </c>
      <c r="B279">
        <v>6400</v>
      </c>
      <c r="C279" t="s">
        <v>45</v>
      </c>
      <c r="D279">
        <v>3991</v>
      </c>
      <c r="E279" t="str">
        <f>INDEX(Accounts!$C$2:$C$9,MATCH(B279,Accounts!$A$2:$A$9,0))</f>
        <v>Operating Expense</v>
      </c>
    </row>
    <row r="280" spans="1:5" x14ac:dyDescent="0.3">
      <c r="A280" t="s">
        <v>893</v>
      </c>
      <c r="B280">
        <v>6400</v>
      </c>
      <c r="C280" t="s">
        <v>47</v>
      </c>
      <c r="D280">
        <v>2930</v>
      </c>
      <c r="E280" t="str">
        <f>INDEX(Accounts!$C$2:$C$9,MATCH(B280,Accounts!$A$2:$A$9,0))</f>
        <v>Operating Expense</v>
      </c>
    </row>
    <row r="281" spans="1:5" x14ac:dyDescent="0.3">
      <c r="A281" t="s">
        <v>893</v>
      </c>
      <c r="B281">
        <v>6400</v>
      </c>
      <c r="C281" t="s">
        <v>48</v>
      </c>
      <c r="D281">
        <v>2543</v>
      </c>
      <c r="E281" t="str">
        <f>INDEX(Accounts!$C$2:$C$9,MATCH(B281,Accounts!$A$2:$A$9,0))</f>
        <v>Operating Expense</v>
      </c>
    </row>
    <row r="282" spans="1:5" x14ac:dyDescent="0.3">
      <c r="A282" t="s">
        <v>1034</v>
      </c>
      <c r="B282">
        <v>4000</v>
      </c>
      <c r="C282" t="s">
        <v>41</v>
      </c>
      <c r="D282">
        <v>153681</v>
      </c>
      <c r="E282" t="str">
        <f>INDEX(Accounts!$C$2:$C$9,MATCH(B282,Accounts!$A$2:$A$9,0))</f>
        <v>Revenue</v>
      </c>
    </row>
    <row r="283" spans="1:5" x14ac:dyDescent="0.3">
      <c r="A283" t="s">
        <v>1034</v>
      </c>
      <c r="B283">
        <v>4000</v>
      </c>
      <c r="C283" t="s">
        <v>43</v>
      </c>
      <c r="D283">
        <v>138499</v>
      </c>
      <c r="E283" t="str">
        <f>INDEX(Accounts!$C$2:$C$9,MATCH(B283,Accounts!$A$2:$A$9,0))</f>
        <v>Revenue</v>
      </c>
    </row>
    <row r="284" spans="1:5" x14ac:dyDescent="0.3">
      <c r="A284" t="s">
        <v>1034</v>
      </c>
      <c r="B284">
        <v>4000</v>
      </c>
      <c r="C284" t="s">
        <v>45</v>
      </c>
      <c r="D284">
        <v>94163</v>
      </c>
      <c r="E284" t="str">
        <f>INDEX(Accounts!$C$2:$C$9,MATCH(B284,Accounts!$A$2:$A$9,0))</f>
        <v>Revenue</v>
      </c>
    </row>
    <row r="285" spans="1:5" x14ac:dyDescent="0.3">
      <c r="A285" t="s">
        <v>1034</v>
      </c>
      <c r="B285">
        <v>4000</v>
      </c>
      <c r="C285" t="s">
        <v>47</v>
      </c>
      <c r="D285">
        <v>64070</v>
      </c>
      <c r="E285" t="str">
        <f>INDEX(Accounts!$C$2:$C$9,MATCH(B285,Accounts!$A$2:$A$9,0))</f>
        <v>Revenue</v>
      </c>
    </row>
    <row r="286" spans="1:5" x14ac:dyDescent="0.3">
      <c r="A286" t="s">
        <v>1034</v>
      </c>
      <c r="B286">
        <v>4000</v>
      </c>
      <c r="C286" t="s">
        <v>48</v>
      </c>
      <c r="D286">
        <v>68216</v>
      </c>
      <c r="E286" t="str">
        <f>INDEX(Accounts!$C$2:$C$9,MATCH(B286,Accounts!$A$2:$A$9,0))</f>
        <v>Revenue</v>
      </c>
    </row>
    <row r="287" spans="1:5" x14ac:dyDescent="0.3">
      <c r="A287" t="s">
        <v>1034</v>
      </c>
      <c r="B287">
        <v>4100</v>
      </c>
      <c r="C287" t="s">
        <v>41</v>
      </c>
      <c r="D287">
        <v>7334</v>
      </c>
      <c r="E287" t="str">
        <f>INDEX(Accounts!$C$2:$C$9,MATCH(B287,Accounts!$A$2:$A$9,0))</f>
        <v>Contra Revenue</v>
      </c>
    </row>
    <row r="288" spans="1:5" x14ac:dyDescent="0.3">
      <c r="A288" t="s">
        <v>1034</v>
      </c>
      <c r="B288">
        <v>4100</v>
      </c>
      <c r="C288" t="s">
        <v>43</v>
      </c>
      <c r="D288">
        <v>7535</v>
      </c>
      <c r="E288" t="str">
        <f>INDEX(Accounts!$C$2:$C$9,MATCH(B288,Accounts!$A$2:$A$9,0))</f>
        <v>Contra Revenue</v>
      </c>
    </row>
    <row r="289" spans="1:5" x14ac:dyDescent="0.3">
      <c r="A289" t="s">
        <v>1034</v>
      </c>
      <c r="B289">
        <v>4100</v>
      </c>
      <c r="C289" t="s">
        <v>45</v>
      </c>
      <c r="D289">
        <v>4869</v>
      </c>
      <c r="E289" t="str">
        <f>INDEX(Accounts!$C$2:$C$9,MATCH(B289,Accounts!$A$2:$A$9,0))</f>
        <v>Contra Revenue</v>
      </c>
    </row>
    <row r="290" spans="1:5" x14ac:dyDescent="0.3">
      <c r="A290" t="s">
        <v>1034</v>
      </c>
      <c r="B290">
        <v>4100</v>
      </c>
      <c r="C290" t="s">
        <v>47</v>
      </c>
      <c r="D290">
        <v>3751</v>
      </c>
      <c r="E290" t="str">
        <f>INDEX(Accounts!$C$2:$C$9,MATCH(B290,Accounts!$A$2:$A$9,0))</f>
        <v>Contra Revenue</v>
      </c>
    </row>
    <row r="291" spans="1:5" x14ac:dyDescent="0.3">
      <c r="A291" t="s">
        <v>1034</v>
      </c>
      <c r="B291">
        <v>4100</v>
      </c>
      <c r="C291" t="s">
        <v>48</v>
      </c>
      <c r="D291">
        <v>3613</v>
      </c>
      <c r="E291" t="str">
        <f>INDEX(Accounts!$C$2:$C$9,MATCH(B291,Accounts!$A$2:$A$9,0))</f>
        <v>Contra Revenue</v>
      </c>
    </row>
    <row r="292" spans="1:5" x14ac:dyDescent="0.3">
      <c r="A292" t="s">
        <v>1034</v>
      </c>
      <c r="B292">
        <v>5000</v>
      </c>
      <c r="C292" t="s">
        <v>41</v>
      </c>
      <c r="D292">
        <v>68265</v>
      </c>
      <c r="E292" t="str">
        <f>INDEX(Accounts!$C$2:$C$9,MATCH(B292,Accounts!$A$2:$A$9,0))</f>
        <v>COGS</v>
      </c>
    </row>
    <row r="293" spans="1:5" x14ac:dyDescent="0.3">
      <c r="A293" t="s">
        <v>1034</v>
      </c>
      <c r="B293">
        <v>5000</v>
      </c>
      <c r="C293" t="s">
        <v>43</v>
      </c>
      <c r="D293">
        <v>49633</v>
      </c>
      <c r="E293" t="str">
        <f>INDEX(Accounts!$C$2:$C$9,MATCH(B293,Accounts!$A$2:$A$9,0))</f>
        <v>COGS</v>
      </c>
    </row>
    <row r="294" spans="1:5" x14ac:dyDescent="0.3">
      <c r="A294" t="s">
        <v>1034</v>
      </c>
      <c r="B294">
        <v>5000</v>
      </c>
      <c r="C294" t="s">
        <v>45</v>
      </c>
      <c r="D294">
        <v>42974</v>
      </c>
      <c r="E294" t="str">
        <f>INDEX(Accounts!$C$2:$C$9,MATCH(B294,Accounts!$A$2:$A$9,0))</f>
        <v>COGS</v>
      </c>
    </row>
    <row r="295" spans="1:5" x14ac:dyDescent="0.3">
      <c r="A295" t="s">
        <v>1034</v>
      </c>
      <c r="B295">
        <v>5000</v>
      </c>
      <c r="C295" t="s">
        <v>47</v>
      </c>
      <c r="D295">
        <v>29751</v>
      </c>
      <c r="E295" t="str">
        <f>INDEX(Accounts!$C$2:$C$9,MATCH(B295,Accounts!$A$2:$A$9,0))</f>
        <v>COGS</v>
      </c>
    </row>
    <row r="296" spans="1:5" x14ac:dyDescent="0.3">
      <c r="A296" t="s">
        <v>1034</v>
      </c>
      <c r="B296">
        <v>5000</v>
      </c>
      <c r="C296" t="s">
        <v>48</v>
      </c>
      <c r="D296">
        <v>28869</v>
      </c>
      <c r="E296" t="str">
        <f>INDEX(Accounts!$C$2:$C$9,MATCH(B296,Accounts!$A$2:$A$9,0))</f>
        <v>COGS</v>
      </c>
    </row>
    <row r="297" spans="1:5" x14ac:dyDescent="0.3">
      <c r="A297" t="s">
        <v>1034</v>
      </c>
      <c r="B297">
        <v>6000</v>
      </c>
      <c r="C297" t="s">
        <v>41</v>
      </c>
      <c r="D297">
        <v>27362</v>
      </c>
      <c r="E297" t="str">
        <f>INDEX(Accounts!$C$2:$C$9,MATCH(B297,Accounts!$A$2:$A$9,0))</f>
        <v>Operating Expense</v>
      </c>
    </row>
    <row r="298" spans="1:5" x14ac:dyDescent="0.3">
      <c r="A298" t="s">
        <v>1034</v>
      </c>
      <c r="B298">
        <v>6000</v>
      </c>
      <c r="C298" t="s">
        <v>43</v>
      </c>
      <c r="D298">
        <v>25455</v>
      </c>
      <c r="E298" t="str">
        <f>INDEX(Accounts!$C$2:$C$9,MATCH(B298,Accounts!$A$2:$A$9,0))</f>
        <v>Operating Expense</v>
      </c>
    </row>
    <row r="299" spans="1:5" x14ac:dyDescent="0.3">
      <c r="A299" t="s">
        <v>1034</v>
      </c>
      <c r="B299">
        <v>6000</v>
      </c>
      <c r="C299" t="s">
        <v>45</v>
      </c>
      <c r="D299">
        <v>17966</v>
      </c>
      <c r="E299" t="str">
        <f>INDEX(Accounts!$C$2:$C$9,MATCH(B299,Accounts!$A$2:$A$9,0))</f>
        <v>Operating Expense</v>
      </c>
    </row>
    <row r="300" spans="1:5" x14ac:dyDescent="0.3">
      <c r="A300" t="s">
        <v>1034</v>
      </c>
      <c r="B300">
        <v>6000</v>
      </c>
      <c r="C300" t="s">
        <v>47</v>
      </c>
      <c r="D300">
        <v>11782</v>
      </c>
      <c r="E300" t="str">
        <f>INDEX(Accounts!$C$2:$C$9,MATCH(B300,Accounts!$A$2:$A$9,0))</f>
        <v>Operating Expense</v>
      </c>
    </row>
    <row r="301" spans="1:5" x14ac:dyDescent="0.3">
      <c r="A301" t="s">
        <v>1034</v>
      </c>
      <c r="B301">
        <v>6000</v>
      </c>
      <c r="C301" t="s">
        <v>48</v>
      </c>
      <c r="D301">
        <v>10546</v>
      </c>
      <c r="E301" t="str">
        <f>INDEX(Accounts!$C$2:$C$9,MATCH(B301,Accounts!$A$2:$A$9,0))</f>
        <v>Operating Expense</v>
      </c>
    </row>
    <row r="302" spans="1:5" x14ac:dyDescent="0.3">
      <c r="A302" t="s">
        <v>1034</v>
      </c>
      <c r="B302">
        <v>6100</v>
      </c>
      <c r="C302" t="s">
        <v>41</v>
      </c>
      <c r="D302">
        <v>10944</v>
      </c>
      <c r="E302" t="str">
        <f>INDEX(Accounts!$C$2:$C$9,MATCH(B302,Accounts!$A$2:$A$9,0))</f>
        <v>Operating Expense</v>
      </c>
    </row>
    <row r="303" spans="1:5" x14ac:dyDescent="0.3">
      <c r="A303" t="s">
        <v>1034</v>
      </c>
      <c r="B303">
        <v>6100</v>
      </c>
      <c r="C303" t="s">
        <v>43</v>
      </c>
      <c r="D303">
        <v>10413</v>
      </c>
      <c r="E303" t="str">
        <f>INDEX(Accounts!$C$2:$C$9,MATCH(B303,Accounts!$A$2:$A$9,0))</f>
        <v>Operating Expense</v>
      </c>
    </row>
    <row r="304" spans="1:5" x14ac:dyDescent="0.3">
      <c r="A304" t="s">
        <v>1034</v>
      </c>
      <c r="B304">
        <v>6100</v>
      </c>
      <c r="C304" t="s">
        <v>45</v>
      </c>
      <c r="D304">
        <v>7026</v>
      </c>
      <c r="E304" t="str">
        <f>INDEX(Accounts!$C$2:$C$9,MATCH(B304,Accounts!$A$2:$A$9,0))</f>
        <v>Operating Expense</v>
      </c>
    </row>
    <row r="305" spans="1:5" x14ac:dyDescent="0.3">
      <c r="A305" t="s">
        <v>1034</v>
      </c>
      <c r="B305">
        <v>6100</v>
      </c>
      <c r="C305" t="s">
        <v>47</v>
      </c>
      <c r="D305">
        <v>5591</v>
      </c>
      <c r="E305" t="str">
        <f>INDEX(Accounts!$C$2:$C$9,MATCH(B305,Accounts!$A$2:$A$9,0))</f>
        <v>Operating Expense</v>
      </c>
    </row>
    <row r="306" spans="1:5" x14ac:dyDescent="0.3">
      <c r="A306" t="s">
        <v>1034</v>
      </c>
      <c r="B306">
        <v>6100</v>
      </c>
      <c r="C306" t="s">
        <v>48</v>
      </c>
      <c r="D306">
        <v>5058</v>
      </c>
      <c r="E306" t="str">
        <f>INDEX(Accounts!$C$2:$C$9,MATCH(B306,Accounts!$A$2:$A$9,0))</f>
        <v>Operating Expense</v>
      </c>
    </row>
    <row r="307" spans="1:5" x14ac:dyDescent="0.3">
      <c r="A307" t="s">
        <v>1034</v>
      </c>
      <c r="B307">
        <v>6200</v>
      </c>
      <c r="C307" t="s">
        <v>41</v>
      </c>
      <c r="D307">
        <v>11942</v>
      </c>
      <c r="E307" t="str">
        <f>INDEX(Accounts!$C$2:$C$9,MATCH(B307,Accounts!$A$2:$A$9,0))</f>
        <v>Operating Expense</v>
      </c>
    </row>
    <row r="308" spans="1:5" x14ac:dyDescent="0.3">
      <c r="A308" t="s">
        <v>1034</v>
      </c>
      <c r="B308">
        <v>6200</v>
      </c>
      <c r="C308" t="s">
        <v>43</v>
      </c>
      <c r="D308">
        <v>9729</v>
      </c>
      <c r="E308" t="str">
        <f>INDEX(Accounts!$C$2:$C$9,MATCH(B308,Accounts!$A$2:$A$9,0))</f>
        <v>Operating Expense</v>
      </c>
    </row>
    <row r="309" spans="1:5" x14ac:dyDescent="0.3">
      <c r="A309" t="s">
        <v>1034</v>
      </c>
      <c r="B309">
        <v>6200</v>
      </c>
      <c r="C309" t="s">
        <v>45</v>
      </c>
      <c r="D309">
        <v>6364</v>
      </c>
      <c r="E309" t="str">
        <f>INDEX(Accounts!$C$2:$C$9,MATCH(B309,Accounts!$A$2:$A$9,0))</f>
        <v>Operating Expense</v>
      </c>
    </row>
    <row r="310" spans="1:5" x14ac:dyDescent="0.3">
      <c r="A310" t="s">
        <v>1034</v>
      </c>
      <c r="B310">
        <v>6200</v>
      </c>
      <c r="C310" t="s">
        <v>47</v>
      </c>
      <c r="D310">
        <v>4822</v>
      </c>
      <c r="E310" t="str">
        <f>INDEX(Accounts!$C$2:$C$9,MATCH(B310,Accounts!$A$2:$A$9,0))</f>
        <v>Operating Expense</v>
      </c>
    </row>
    <row r="311" spans="1:5" x14ac:dyDescent="0.3">
      <c r="A311" t="s">
        <v>1034</v>
      </c>
      <c r="B311">
        <v>6200</v>
      </c>
      <c r="C311" t="s">
        <v>48</v>
      </c>
      <c r="D311">
        <v>4733</v>
      </c>
      <c r="E311" t="str">
        <f>INDEX(Accounts!$C$2:$C$9,MATCH(B311,Accounts!$A$2:$A$9,0))</f>
        <v>Operating Expense</v>
      </c>
    </row>
    <row r="312" spans="1:5" x14ac:dyDescent="0.3">
      <c r="A312" t="s">
        <v>1034</v>
      </c>
      <c r="B312">
        <v>6300</v>
      </c>
      <c r="C312" t="s">
        <v>41</v>
      </c>
      <c r="D312">
        <v>9396</v>
      </c>
      <c r="E312" t="str">
        <f>INDEX(Accounts!$C$2:$C$9,MATCH(B312,Accounts!$A$2:$A$9,0))</f>
        <v>Operating Expense</v>
      </c>
    </row>
    <row r="313" spans="1:5" x14ac:dyDescent="0.3">
      <c r="A313" t="s">
        <v>1034</v>
      </c>
      <c r="B313">
        <v>6300</v>
      </c>
      <c r="C313" t="s">
        <v>43</v>
      </c>
      <c r="D313">
        <v>8572</v>
      </c>
      <c r="E313" t="str">
        <f>INDEX(Accounts!$C$2:$C$9,MATCH(B313,Accounts!$A$2:$A$9,0))</f>
        <v>Operating Expense</v>
      </c>
    </row>
    <row r="314" spans="1:5" x14ac:dyDescent="0.3">
      <c r="A314" t="s">
        <v>1034</v>
      </c>
      <c r="B314">
        <v>6300</v>
      </c>
      <c r="C314" t="s">
        <v>45</v>
      </c>
      <c r="D314">
        <v>6288</v>
      </c>
      <c r="E314" t="str">
        <f>INDEX(Accounts!$C$2:$C$9,MATCH(B314,Accounts!$A$2:$A$9,0))</f>
        <v>Operating Expense</v>
      </c>
    </row>
    <row r="315" spans="1:5" x14ac:dyDescent="0.3">
      <c r="A315" t="s">
        <v>1034</v>
      </c>
      <c r="B315">
        <v>6300</v>
      </c>
      <c r="C315" t="s">
        <v>47</v>
      </c>
      <c r="D315">
        <v>4765</v>
      </c>
      <c r="E315" t="str">
        <f>INDEX(Accounts!$C$2:$C$9,MATCH(B315,Accounts!$A$2:$A$9,0))</f>
        <v>Operating Expense</v>
      </c>
    </row>
    <row r="316" spans="1:5" x14ac:dyDescent="0.3">
      <c r="A316" t="s">
        <v>1034</v>
      </c>
      <c r="B316">
        <v>6300</v>
      </c>
      <c r="C316" t="s">
        <v>48</v>
      </c>
      <c r="D316">
        <v>3611</v>
      </c>
      <c r="E316" t="str">
        <f>INDEX(Accounts!$C$2:$C$9,MATCH(B316,Accounts!$A$2:$A$9,0))</f>
        <v>Operating Expense</v>
      </c>
    </row>
    <row r="317" spans="1:5" x14ac:dyDescent="0.3">
      <c r="A317" t="s">
        <v>1034</v>
      </c>
      <c r="B317">
        <v>6400</v>
      </c>
      <c r="C317" t="s">
        <v>41</v>
      </c>
      <c r="D317">
        <v>5759</v>
      </c>
      <c r="E317" t="str">
        <f>INDEX(Accounts!$C$2:$C$9,MATCH(B317,Accounts!$A$2:$A$9,0))</f>
        <v>Operating Expense</v>
      </c>
    </row>
    <row r="318" spans="1:5" x14ac:dyDescent="0.3">
      <c r="A318" t="s">
        <v>1034</v>
      </c>
      <c r="B318">
        <v>6400</v>
      </c>
      <c r="C318" t="s">
        <v>43</v>
      </c>
      <c r="D318">
        <v>4845</v>
      </c>
      <c r="E318" t="str">
        <f>INDEX(Accounts!$C$2:$C$9,MATCH(B318,Accounts!$A$2:$A$9,0))</f>
        <v>Operating Expense</v>
      </c>
    </row>
    <row r="319" spans="1:5" x14ac:dyDescent="0.3">
      <c r="A319" t="s">
        <v>1034</v>
      </c>
      <c r="B319">
        <v>6400</v>
      </c>
      <c r="C319" t="s">
        <v>45</v>
      </c>
      <c r="D319">
        <v>3743</v>
      </c>
      <c r="E319" t="str">
        <f>INDEX(Accounts!$C$2:$C$9,MATCH(B319,Accounts!$A$2:$A$9,0))</f>
        <v>Operating Expense</v>
      </c>
    </row>
    <row r="320" spans="1:5" x14ac:dyDescent="0.3">
      <c r="A320" t="s">
        <v>1034</v>
      </c>
      <c r="B320">
        <v>6400</v>
      </c>
      <c r="C320" t="s">
        <v>47</v>
      </c>
      <c r="D320">
        <v>2608</v>
      </c>
      <c r="E320" t="str">
        <f>INDEX(Accounts!$C$2:$C$9,MATCH(B320,Accounts!$A$2:$A$9,0))</f>
        <v>Operating Expense</v>
      </c>
    </row>
    <row r="321" spans="1:5" x14ac:dyDescent="0.3">
      <c r="A321" t="s">
        <v>1034</v>
      </c>
      <c r="B321">
        <v>6400</v>
      </c>
      <c r="C321" t="s">
        <v>48</v>
      </c>
      <c r="D321">
        <v>2406</v>
      </c>
      <c r="E321" t="str">
        <f>INDEX(Accounts!$C$2:$C$9,MATCH(B321,Accounts!$A$2:$A$9,0))</f>
        <v>Operating Expense</v>
      </c>
    </row>
    <row r="322" spans="1:5" x14ac:dyDescent="0.3">
      <c r="A322" t="s">
        <v>1175</v>
      </c>
      <c r="B322">
        <v>4000</v>
      </c>
      <c r="C322" t="s">
        <v>41</v>
      </c>
      <c r="D322">
        <v>147262</v>
      </c>
      <c r="E322" t="str">
        <f>INDEX(Accounts!$C$2:$C$9,MATCH(B322,Accounts!$A$2:$A$9,0))</f>
        <v>Revenue</v>
      </c>
    </row>
    <row r="323" spans="1:5" x14ac:dyDescent="0.3">
      <c r="A323" t="s">
        <v>1175</v>
      </c>
      <c r="B323">
        <v>4000</v>
      </c>
      <c r="C323" t="s">
        <v>43</v>
      </c>
      <c r="D323">
        <v>118809</v>
      </c>
      <c r="E323" t="str">
        <f>INDEX(Accounts!$C$2:$C$9,MATCH(B323,Accounts!$A$2:$A$9,0))</f>
        <v>Revenue</v>
      </c>
    </row>
    <row r="324" spans="1:5" x14ac:dyDescent="0.3">
      <c r="A324" t="s">
        <v>1175</v>
      </c>
      <c r="B324">
        <v>4000</v>
      </c>
      <c r="C324" t="s">
        <v>45</v>
      </c>
      <c r="D324">
        <v>86271</v>
      </c>
      <c r="E324" t="str">
        <f>INDEX(Accounts!$C$2:$C$9,MATCH(B324,Accounts!$A$2:$A$9,0))</f>
        <v>Revenue</v>
      </c>
    </row>
    <row r="325" spans="1:5" x14ac:dyDescent="0.3">
      <c r="A325" t="s">
        <v>1175</v>
      </c>
      <c r="B325">
        <v>4000</v>
      </c>
      <c r="C325" t="s">
        <v>47</v>
      </c>
      <c r="D325">
        <v>76070</v>
      </c>
      <c r="E325" t="str">
        <f>INDEX(Accounts!$C$2:$C$9,MATCH(B325,Accounts!$A$2:$A$9,0))</f>
        <v>Revenue</v>
      </c>
    </row>
    <row r="326" spans="1:5" x14ac:dyDescent="0.3">
      <c r="A326" t="s">
        <v>1175</v>
      </c>
      <c r="B326">
        <v>4000</v>
      </c>
      <c r="C326" t="s">
        <v>48</v>
      </c>
      <c r="D326">
        <v>65278</v>
      </c>
      <c r="E326" t="str">
        <f>INDEX(Accounts!$C$2:$C$9,MATCH(B326,Accounts!$A$2:$A$9,0))</f>
        <v>Revenue</v>
      </c>
    </row>
    <row r="327" spans="1:5" x14ac:dyDescent="0.3">
      <c r="A327" t="s">
        <v>1175</v>
      </c>
      <c r="B327">
        <v>4100</v>
      </c>
      <c r="C327" t="s">
        <v>41</v>
      </c>
      <c r="D327">
        <v>8806</v>
      </c>
      <c r="E327" t="str">
        <f>INDEX(Accounts!$C$2:$C$9,MATCH(B327,Accounts!$A$2:$A$9,0))</f>
        <v>Contra Revenue</v>
      </c>
    </row>
    <row r="328" spans="1:5" x14ac:dyDescent="0.3">
      <c r="A328" t="s">
        <v>1175</v>
      </c>
      <c r="B328">
        <v>4100</v>
      </c>
      <c r="C328" t="s">
        <v>43</v>
      </c>
      <c r="D328">
        <v>7570</v>
      </c>
      <c r="E328" t="str">
        <f>INDEX(Accounts!$C$2:$C$9,MATCH(B328,Accounts!$A$2:$A$9,0))</f>
        <v>Contra Revenue</v>
      </c>
    </row>
    <row r="329" spans="1:5" x14ac:dyDescent="0.3">
      <c r="A329" t="s">
        <v>1175</v>
      </c>
      <c r="B329">
        <v>4100</v>
      </c>
      <c r="C329" t="s">
        <v>45</v>
      </c>
      <c r="D329">
        <v>5072</v>
      </c>
      <c r="E329" t="str">
        <f>INDEX(Accounts!$C$2:$C$9,MATCH(B329,Accounts!$A$2:$A$9,0))</f>
        <v>Contra Revenue</v>
      </c>
    </row>
    <row r="330" spans="1:5" x14ac:dyDescent="0.3">
      <c r="A330" t="s">
        <v>1175</v>
      </c>
      <c r="B330">
        <v>4100</v>
      </c>
      <c r="C330" t="s">
        <v>47</v>
      </c>
      <c r="D330">
        <v>3774</v>
      </c>
      <c r="E330" t="str">
        <f>INDEX(Accounts!$C$2:$C$9,MATCH(B330,Accounts!$A$2:$A$9,0))</f>
        <v>Contra Revenue</v>
      </c>
    </row>
    <row r="331" spans="1:5" x14ac:dyDescent="0.3">
      <c r="A331" t="s">
        <v>1175</v>
      </c>
      <c r="B331">
        <v>4100</v>
      </c>
      <c r="C331" t="s">
        <v>48</v>
      </c>
      <c r="D331">
        <v>3011</v>
      </c>
      <c r="E331" t="str">
        <f>INDEX(Accounts!$C$2:$C$9,MATCH(B331,Accounts!$A$2:$A$9,0))</f>
        <v>Contra Revenue</v>
      </c>
    </row>
    <row r="332" spans="1:5" x14ac:dyDescent="0.3">
      <c r="A332" t="s">
        <v>1175</v>
      </c>
      <c r="B332">
        <v>5000</v>
      </c>
      <c r="C332" t="s">
        <v>41</v>
      </c>
      <c r="D332">
        <v>70747</v>
      </c>
      <c r="E332" t="str">
        <f>INDEX(Accounts!$C$2:$C$9,MATCH(B332,Accounts!$A$2:$A$9,0))</f>
        <v>COGS</v>
      </c>
    </row>
    <row r="333" spans="1:5" x14ac:dyDescent="0.3">
      <c r="A333" t="s">
        <v>1175</v>
      </c>
      <c r="B333">
        <v>5000</v>
      </c>
      <c r="C333" t="s">
        <v>43</v>
      </c>
      <c r="D333">
        <v>50700</v>
      </c>
      <c r="E333" t="str">
        <f>INDEX(Accounts!$C$2:$C$9,MATCH(B333,Accounts!$A$2:$A$9,0))</f>
        <v>COGS</v>
      </c>
    </row>
    <row r="334" spans="1:5" x14ac:dyDescent="0.3">
      <c r="A334" t="s">
        <v>1175</v>
      </c>
      <c r="B334">
        <v>5000</v>
      </c>
      <c r="C334" t="s">
        <v>45</v>
      </c>
      <c r="D334">
        <v>40732</v>
      </c>
      <c r="E334" t="str">
        <f>INDEX(Accounts!$C$2:$C$9,MATCH(B334,Accounts!$A$2:$A$9,0))</f>
        <v>COGS</v>
      </c>
    </row>
    <row r="335" spans="1:5" x14ac:dyDescent="0.3">
      <c r="A335" t="s">
        <v>1175</v>
      </c>
      <c r="B335">
        <v>5000</v>
      </c>
      <c r="C335" t="s">
        <v>47</v>
      </c>
      <c r="D335">
        <v>31402</v>
      </c>
      <c r="E335" t="str">
        <f>INDEX(Accounts!$C$2:$C$9,MATCH(B335,Accounts!$A$2:$A$9,0))</f>
        <v>COGS</v>
      </c>
    </row>
    <row r="336" spans="1:5" x14ac:dyDescent="0.3">
      <c r="A336" t="s">
        <v>1175</v>
      </c>
      <c r="B336">
        <v>5000</v>
      </c>
      <c r="C336" t="s">
        <v>48</v>
      </c>
      <c r="D336">
        <v>26638</v>
      </c>
      <c r="E336" t="str">
        <f>INDEX(Accounts!$C$2:$C$9,MATCH(B336,Accounts!$A$2:$A$9,0))</f>
        <v>COGS</v>
      </c>
    </row>
    <row r="337" spans="1:5" x14ac:dyDescent="0.3">
      <c r="A337" t="s">
        <v>1175</v>
      </c>
      <c r="B337">
        <v>6000</v>
      </c>
      <c r="C337" t="s">
        <v>41</v>
      </c>
      <c r="D337">
        <v>30601</v>
      </c>
      <c r="E337" t="str">
        <f>INDEX(Accounts!$C$2:$C$9,MATCH(B337,Accounts!$A$2:$A$9,0))</f>
        <v>Operating Expense</v>
      </c>
    </row>
    <row r="338" spans="1:5" x14ac:dyDescent="0.3">
      <c r="A338" t="s">
        <v>1175</v>
      </c>
      <c r="B338">
        <v>6000</v>
      </c>
      <c r="C338" t="s">
        <v>43</v>
      </c>
      <c r="D338">
        <v>25343</v>
      </c>
      <c r="E338" t="str">
        <f>INDEX(Accounts!$C$2:$C$9,MATCH(B338,Accounts!$A$2:$A$9,0))</f>
        <v>Operating Expense</v>
      </c>
    </row>
    <row r="339" spans="1:5" x14ac:dyDescent="0.3">
      <c r="A339" t="s">
        <v>1175</v>
      </c>
      <c r="B339">
        <v>6000</v>
      </c>
      <c r="C339" t="s">
        <v>45</v>
      </c>
      <c r="D339">
        <v>17375</v>
      </c>
      <c r="E339" t="str">
        <f>INDEX(Accounts!$C$2:$C$9,MATCH(B339,Accounts!$A$2:$A$9,0))</f>
        <v>Operating Expense</v>
      </c>
    </row>
    <row r="340" spans="1:5" x14ac:dyDescent="0.3">
      <c r="A340" t="s">
        <v>1175</v>
      </c>
      <c r="B340">
        <v>6000</v>
      </c>
      <c r="C340" t="s">
        <v>47</v>
      </c>
      <c r="D340">
        <v>11564</v>
      </c>
      <c r="E340" t="str">
        <f>INDEX(Accounts!$C$2:$C$9,MATCH(B340,Accounts!$A$2:$A$9,0))</f>
        <v>Operating Expense</v>
      </c>
    </row>
    <row r="341" spans="1:5" x14ac:dyDescent="0.3">
      <c r="A341" t="s">
        <v>1175</v>
      </c>
      <c r="B341">
        <v>6000</v>
      </c>
      <c r="C341" t="s">
        <v>48</v>
      </c>
      <c r="D341">
        <v>11030</v>
      </c>
      <c r="E341" t="str">
        <f>INDEX(Accounts!$C$2:$C$9,MATCH(B341,Accounts!$A$2:$A$9,0))</f>
        <v>Operating Expense</v>
      </c>
    </row>
    <row r="342" spans="1:5" x14ac:dyDescent="0.3">
      <c r="A342" t="s">
        <v>1175</v>
      </c>
      <c r="B342">
        <v>6100</v>
      </c>
      <c r="C342" t="s">
        <v>41</v>
      </c>
      <c r="D342">
        <v>13133</v>
      </c>
      <c r="E342" t="str">
        <f>INDEX(Accounts!$C$2:$C$9,MATCH(B342,Accounts!$A$2:$A$9,0))</f>
        <v>Operating Expense</v>
      </c>
    </row>
    <row r="343" spans="1:5" x14ac:dyDescent="0.3">
      <c r="A343" t="s">
        <v>1175</v>
      </c>
      <c r="B343">
        <v>6100</v>
      </c>
      <c r="C343" t="s">
        <v>43</v>
      </c>
      <c r="D343">
        <v>10379</v>
      </c>
      <c r="E343" t="str">
        <f>INDEX(Accounts!$C$2:$C$9,MATCH(B343,Accounts!$A$2:$A$9,0))</f>
        <v>Operating Expense</v>
      </c>
    </row>
    <row r="344" spans="1:5" x14ac:dyDescent="0.3">
      <c r="A344" t="s">
        <v>1175</v>
      </c>
      <c r="B344">
        <v>6100</v>
      </c>
      <c r="C344" t="s">
        <v>45</v>
      </c>
      <c r="D344">
        <v>7859</v>
      </c>
      <c r="E344" t="str">
        <f>INDEX(Accounts!$C$2:$C$9,MATCH(B344,Accounts!$A$2:$A$9,0))</f>
        <v>Operating Expense</v>
      </c>
    </row>
    <row r="345" spans="1:5" x14ac:dyDescent="0.3">
      <c r="A345" t="s">
        <v>1175</v>
      </c>
      <c r="B345">
        <v>6100</v>
      </c>
      <c r="C345" t="s">
        <v>47</v>
      </c>
      <c r="D345">
        <v>5020</v>
      </c>
      <c r="E345" t="str">
        <f>INDEX(Accounts!$C$2:$C$9,MATCH(B345,Accounts!$A$2:$A$9,0))</f>
        <v>Operating Expense</v>
      </c>
    </row>
    <row r="346" spans="1:5" x14ac:dyDescent="0.3">
      <c r="A346" t="s">
        <v>1175</v>
      </c>
      <c r="B346">
        <v>6100</v>
      </c>
      <c r="C346" t="s">
        <v>48</v>
      </c>
      <c r="D346">
        <v>4721</v>
      </c>
      <c r="E346" t="str">
        <f>INDEX(Accounts!$C$2:$C$9,MATCH(B346,Accounts!$A$2:$A$9,0))</f>
        <v>Operating Expense</v>
      </c>
    </row>
    <row r="347" spans="1:5" x14ac:dyDescent="0.3">
      <c r="A347" t="s">
        <v>1175</v>
      </c>
      <c r="B347">
        <v>6200</v>
      </c>
      <c r="C347" t="s">
        <v>41</v>
      </c>
      <c r="D347">
        <v>12361</v>
      </c>
      <c r="E347" t="str">
        <f>INDEX(Accounts!$C$2:$C$9,MATCH(B347,Accounts!$A$2:$A$9,0))</f>
        <v>Operating Expense</v>
      </c>
    </row>
    <row r="348" spans="1:5" x14ac:dyDescent="0.3">
      <c r="A348" t="s">
        <v>1175</v>
      </c>
      <c r="B348">
        <v>6200</v>
      </c>
      <c r="C348" t="s">
        <v>43</v>
      </c>
      <c r="D348">
        <v>10106</v>
      </c>
      <c r="E348" t="str">
        <f>INDEX(Accounts!$C$2:$C$9,MATCH(B348,Accounts!$A$2:$A$9,0))</f>
        <v>Operating Expense</v>
      </c>
    </row>
    <row r="349" spans="1:5" x14ac:dyDescent="0.3">
      <c r="A349" t="s">
        <v>1175</v>
      </c>
      <c r="B349">
        <v>6200</v>
      </c>
      <c r="C349" t="s">
        <v>45</v>
      </c>
      <c r="D349">
        <v>6555</v>
      </c>
      <c r="E349" t="str">
        <f>INDEX(Accounts!$C$2:$C$9,MATCH(B349,Accounts!$A$2:$A$9,0))</f>
        <v>Operating Expense</v>
      </c>
    </row>
    <row r="350" spans="1:5" x14ac:dyDescent="0.3">
      <c r="A350" t="s">
        <v>1175</v>
      </c>
      <c r="B350">
        <v>6200</v>
      </c>
      <c r="C350" t="s">
        <v>47</v>
      </c>
      <c r="D350">
        <v>4631</v>
      </c>
      <c r="E350" t="str">
        <f>INDEX(Accounts!$C$2:$C$9,MATCH(B350,Accounts!$A$2:$A$9,0))</f>
        <v>Operating Expense</v>
      </c>
    </row>
    <row r="351" spans="1:5" x14ac:dyDescent="0.3">
      <c r="A351" t="s">
        <v>1175</v>
      </c>
      <c r="B351">
        <v>6200</v>
      </c>
      <c r="C351" t="s">
        <v>48</v>
      </c>
      <c r="D351">
        <v>4123</v>
      </c>
      <c r="E351" t="str">
        <f>INDEX(Accounts!$C$2:$C$9,MATCH(B351,Accounts!$A$2:$A$9,0))</f>
        <v>Operating Expense</v>
      </c>
    </row>
    <row r="352" spans="1:5" x14ac:dyDescent="0.3">
      <c r="A352" t="s">
        <v>1175</v>
      </c>
      <c r="B352">
        <v>6300</v>
      </c>
      <c r="C352" t="s">
        <v>41</v>
      </c>
      <c r="D352">
        <v>10710</v>
      </c>
      <c r="E352" t="str">
        <f>INDEX(Accounts!$C$2:$C$9,MATCH(B352,Accounts!$A$2:$A$9,0))</f>
        <v>Operating Expense</v>
      </c>
    </row>
    <row r="353" spans="1:5" x14ac:dyDescent="0.3">
      <c r="A353" t="s">
        <v>1175</v>
      </c>
      <c r="B353">
        <v>6300</v>
      </c>
      <c r="C353" t="s">
        <v>43</v>
      </c>
      <c r="D353">
        <v>8267</v>
      </c>
      <c r="E353" t="str">
        <f>INDEX(Accounts!$C$2:$C$9,MATCH(B353,Accounts!$A$2:$A$9,0))</f>
        <v>Operating Expense</v>
      </c>
    </row>
    <row r="354" spans="1:5" x14ac:dyDescent="0.3">
      <c r="A354" t="s">
        <v>1175</v>
      </c>
      <c r="B354">
        <v>6300</v>
      </c>
      <c r="C354" t="s">
        <v>45</v>
      </c>
      <c r="D354">
        <v>5839</v>
      </c>
      <c r="E354" t="str">
        <f>INDEX(Accounts!$C$2:$C$9,MATCH(B354,Accounts!$A$2:$A$9,0))</f>
        <v>Operating Expense</v>
      </c>
    </row>
    <row r="355" spans="1:5" x14ac:dyDescent="0.3">
      <c r="A355" t="s">
        <v>1175</v>
      </c>
      <c r="B355">
        <v>6300</v>
      </c>
      <c r="C355" t="s">
        <v>47</v>
      </c>
      <c r="D355">
        <v>4018</v>
      </c>
      <c r="E355" t="str">
        <f>INDEX(Accounts!$C$2:$C$9,MATCH(B355,Accounts!$A$2:$A$9,0))</f>
        <v>Operating Expense</v>
      </c>
    </row>
    <row r="356" spans="1:5" x14ac:dyDescent="0.3">
      <c r="A356" t="s">
        <v>1175</v>
      </c>
      <c r="B356">
        <v>6300</v>
      </c>
      <c r="C356" t="s">
        <v>48</v>
      </c>
      <c r="D356">
        <v>4441</v>
      </c>
      <c r="E356" t="str">
        <f>INDEX(Accounts!$C$2:$C$9,MATCH(B356,Accounts!$A$2:$A$9,0))</f>
        <v>Operating Expense</v>
      </c>
    </row>
    <row r="357" spans="1:5" x14ac:dyDescent="0.3">
      <c r="A357" t="s">
        <v>1175</v>
      </c>
      <c r="B357">
        <v>6400</v>
      </c>
      <c r="C357" t="s">
        <v>41</v>
      </c>
      <c r="D357">
        <v>5989</v>
      </c>
      <c r="E357" t="str">
        <f>INDEX(Accounts!$C$2:$C$9,MATCH(B357,Accounts!$A$2:$A$9,0))</f>
        <v>Operating Expense</v>
      </c>
    </row>
    <row r="358" spans="1:5" x14ac:dyDescent="0.3">
      <c r="A358" t="s">
        <v>1175</v>
      </c>
      <c r="B358">
        <v>6400</v>
      </c>
      <c r="C358" t="s">
        <v>43</v>
      </c>
      <c r="D358">
        <v>5234</v>
      </c>
      <c r="E358" t="str">
        <f>INDEX(Accounts!$C$2:$C$9,MATCH(B358,Accounts!$A$2:$A$9,0))</f>
        <v>Operating Expense</v>
      </c>
    </row>
    <row r="359" spans="1:5" x14ac:dyDescent="0.3">
      <c r="A359" t="s">
        <v>1175</v>
      </c>
      <c r="B359">
        <v>6400</v>
      </c>
      <c r="C359" t="s">
        <v>45</v>
      </c>
      <c r="D359">
        <v>3781</v>
      </c>
      <c r="E359" t="str">
        <f>INDEX(Accounts!$C$2:$C$9,MATCH(B359,Accounts!$A$2:$A$9,0))</f>
        <v>Operating Expense</v>
      </c>
    </row>
    <row r="360" spans="1:5" x14ac:dyDescent="0.3">
      <c r="A360" t="s">
        <v>1175</v>
      </c>
      <c r="B360">
        <v>6400</v>
      </c>
      <c r="C360" t="s">
        <v>47</v>
      </c>
      <c r="D360">
        <v>3037</v>
      </c>
      <c r="E360" t="str">
        <f>INDEX(Accounts!$C$2:$C$9,MATCH(B360,Accounts!$A$2:$A$9,0))</f>
        <v>Operating Expense</v>
      </c>
    </row>
    <row r="361" spans="1:5" x14ac:dyDescent="0.3">
      <c r="A361" t="s">
        <v>1175</v>
      </c>
      <c r="B361">
        <v>6400</v>
      </c>
      <c r="C361" t="s">
        <v>48</v>
      </c>
      <c r="D361">
        <v>2586</v>
      </c>
      <c r="E361" t="str">
        <f>INDEX(Accounts!$C$2:$C$9,MATCH(B361,Accounts!$A$2:$A$9,0))</f>
        <v>Operating Expense</v>
      </c>
    </row>
    <row r="362" spans="1:5" x14ac:dyDescent="0.3">
      <c r="A362" t="s">
        <v>1315</v>
      </c>
      <c r="B362">
        <v>4000</v>
      </c>
      <c r="C362" t="s">
        <v>41</v>
      </c>
      <c r="D362">
        <v>146759</v>
      </c>
      <c r="E362" t="str">
        <f>INDEX(Accounts!$C$2:$C$9,MATCH(B362,Accounts!$A$2:$A$9,0))</f>
        <v>Revenue</v>
      </c>
    </row>
    <row r="363" spans="1:5" x14ac:dyDescent="0.3">
      <c r="A363" t="s">
        <v>1315</v>
      </c>
      <c r="B363">
        <v>4000</v>
      </c>
      <c r="C363" t="s">
        <v>43</v>
      </c>
      <c r="D363">
        <v>132333</v>
      </c>
      <c r="E363" t="str">
        <f>INDEX(Accounts!$C$2:$C$9,MATCH(B363,Accounts!$A$2:$A$9,0))</f>
        <v>Revenue</v>
      </c>
    </row>
    <row r="364" spans="1:5" x14ac:dyDescent="0.3">
      <c r="A364" t="s">
        <v>1315</v>
      </c>
      <c r="B364">
        <v>4000</v>
      </c>
      <c r="C364" t="s">
        <v>45</v>
      </c>
      <c r="D364">
        <v>87342</v>
      </c>
      <c r="E364" t="str">
        <f>INDEX(Accounts!$C$2:$C$9,MATCH(B364,Accounts!$A$2:$A$9,0))</f>
        <v>Revenue</v>
      </c>
    </row>
    <row r="365" spans="1:5" x14ac:dyDescent="0.3">
      <c r="A365" t="s">
        <v>1315</v>
      </c>
      <c r="B365">
        <v>4000</v>
      </c>
      <c r="C365" t="s">
        <v>47</v>
      </c>
      <c r="D365">
        <v>73502</v>
      </c>
      <c r="E365" t="str">
        <f>INDEX(Accounts!$C$2:$C$9,MATCH(B365,Accounts!$A$2:$A$9,0))</f>
        <v>Revenue</v>
      </c>
    </row>
    <row r="366" spans="1:5" x14ac:dyDescent="0.3">
      <c r="A366" t="s">
        <v>1315</v>
      </c>
      <c r="B366">
        <v>4000</v>
      </c>
      <c r="C366" t="s">
        <v>48</v>
      </c>
      <c r="D366">
        <v>59253</v>
      </c>
      <c r="E366" t="str">
        <f>INDEX(Accounts!$C$2:$C$9,MATCH(B366,Accounts!$A$2:$A$9,0))</f>
        <v>Revenue</v>
      </c>
    </row>
    <row r="367" spans="1:5" x14ac:dyDescent="0.3">
      <c r="A367" t="s">
        <v>1315</v>
      </c>
      <c r="B367">
        <v>4100</v>
      </c>
      <c r="C367" t="s">
        <v>41</v>
      </c>
      <c r="D367">
        <v>8462</v>
      </c>
      <c r="E367" t="str">
        <f>INDEX(Accounts!$C$2:$C$9,MATCH(B367,Accounts!$A$2:$A$9,0))</f>
        <v>Contra Revenue</v>
      </c>
    </row>
    <row r="368" spans="1:5" x14ac:dyDescent="0.3">
      <c r="A368" t="s">
        <v>1315</v>
      </c>
      <c r="B368">
        <v>4100</v>
      </c>
      <c r="C368" t="s">
        <v>43</v>
      </c>
      <c r="D368">
        <v>7513</v>
      </c>
      <c r="E368" t="str">
        <f>INDEX(Accounts!$C$2:$C$9,MATCH(B368,Accounts!$A$2:$A$9,0))</f>
        <v>Contra Revenue</v>
      </c>
    </row>
    <row r="369" spans="1:5" x14ac:dyDescent="0.3">
      <c r="A369" t="s">
        <v>1315</v>
      </c>
      <c r="B369">
        <v>4100</v>
      </c>
      <c r="C369" t="s">
        <v>45</v>
      </c>
      <c r="D369">
        <v>5155</v>
      </c>
      <c r="E369" t="str">
        <f>INDEX(Accounts!$C$2:$C$9,MATCH(B369,Accounts!$A$2:$A$9,0))</f>
        <v>Contra Revenue</v>
      </c>
    </row>
    <row r="370" spans="1:5" x14ac:dyDescent="0.3">
      <c r="A370" t="s">
        <v>1315</v>
      </c>
      <c r="B370">
        <v>4100</v>
      </c>
      <c r="C370" t="s">
        <v>47</v>
      </c>
      <c r="D370">
        <v>3299</v>
      </c>
      <c r="E370" t="str">
        <f>INDEX(Accounts!$C$2:$C$9,MATCH(B370,Accounts!$A$2:$A$9,0))</f>
        <v>Contra Revenue</v>
      </c>
    </row>
    <row r="371" spans="1:5" x14ac:dyDescent="0.3">
      <c r="A371" t="s">
        <v>1315</v>
      </c>
      <c r="B371">
        <v>4100</v>
      </c>
      <c r="C371" t="s">
        <v>48</v>
      </c>
      <c r="D371">
        <v>2977</v>
      </c>
      <c r="E371" t="str">
        <f>INDEX(Accounts!$C$2:$C$9,MATCH(B371,Accounts!$A$2:$A$9,0))</f>
        <v>Contra Revenue</v>
      </c>
    </row>
    <row r="372" spans="1:5" x14ac:dyDescent="0.3">
      <c r="A372" t="s">
        <v>1315</v>
      </c>
      <c r="B372">
        <v>5000</v>
      </c>
      <c r="C372" t="s">
        <v>41</v>
      </c>
      <c r="D372">
        <v>66670</v>
      </c>
      <c r="E372" t="str">
        <f>INDEX(Accounts!$C$2:$C$9,MATCH(B372,Accounts!$A$2:$A$9,0))</f>
        <v>COGS</v>
      </c>
    </row>
    <row r="373" spans="1:5" x14ac:dyDescent="0.3">
      <c r="A373" t="s">
        <v>1315</v>
      </c>
      <c r="B373">
        <v>5000</v>
      </c>
      <c r="C373" t="s">
        <v>43</v>
      </c>
      <c r="D373">
        <v>52150</v>
      </c>
      <c r="E373" t="str">
        <f>INDEX(Accounts!$C$2:$C$9,MATCH(B373,Accounts!$A$2:$A$9,0))</f>
        <v>COGS</v>
      </c>
    </row>
    <row r="374" spans="1:5" x14ac:dyDescent="0.3">
      <c r="A374" t="s">
        <v>1315</v>
      </c>
      <c r="B374">
        <v>5000</v>
      </c>
      <c r="C374" t="s">
        <v>45</v>
      </c>
      <c r="D374">
        <v>38926</v>
      </c>
      <c r="E374" t="str">
        <f>INDEX(Accounts!$C$2:$C$9,MATCH(B374,Accounts!$A$2:$A$9,0))</f>
        <v>COGS</v>
      </c>
    </row>
    <row r="375" spans="1:5" x14ac:dyDescent="0.3">
      <c r="A375" t="s">
        <v>1315</v>
      </c>
      <c r="B375">
        <v>5000</v>
      </c>
      <c r="C375" t="s">
        <v>47</v>
      </c>
      <c r="D375">
        <v>31381</v>
      </c>
      <c r="E375" t="str">
        <f>INDEX(Accounts!$C$2:$C$9,MATCH(B375,Accounts!$A$2:$A$9,0))</f>
        <v>COGS</v>
      </c>
    </row>
    <row r="376" spans="1:5" x14ac:dyDescent="0.3">
      <c r="A376" t="s">
        <v>1315</v>
      </c>
      <c r="B376">
        <v>5000</v>
      </c>
      <c r="C376" t="s">
        <v>48</v>
      </c>
      <c r="D376">
        <v>24251</v>
      </c>
      <c r="E376" t="str">
        <f>INDEX(Accounts!$C$2:$C$9,MATCH(B376,Accounts!$A$2:$A$9,0))</f>
        <v>COGS</v>
      </c>
    </row>
    <row r="377" spans="1:5" x14ac:dyDescent="0.3">
      <c r="A377" t="s">
        <v>1315</v>
      </c>
      <c r="B377">
        <v>6000</v>
      </c>
      <c r="C377" t="s">
        <v>41</v>
      </c>
      <c r="D377">
        <v>28624</v>
      </c>
      <c r="E377" t="str">
        <f>INDEX(Accounts!$C$2:$C$9,MATCH(B377,Accounts!$A$2:$A$9,0))</f>
        <v>Operating Expense</v>
      </c>
    </row>
    <row r="378" spans="1:5" x14ac:dyDescent="0.3">
      <c r="A378" t="s">
        <v>1315</v>
      </c>
      <c r="B378">
        <v>6000</v>
      </c>
      <c r="C378" t="s">
        <v>43</v>
      </c>
      <c r="D378">
        <v>25531</v>
      </c>
      <c r="E378" t="str">
        <f>INDEX(Accounts!$C$2:$C$9,MATCH(B378,Accounts!$A$2:$A$9,0))</f>
        <v>Operating Expense</v>
      </c>
    </row>
    <row r="379" spans="1:5" x14ac:dyDescent="0.3">
      <c r="A379" t="s">
        <v>1315</v>
      </c>
      <c r="B379">
        <v>6000</v>
      </c>
      <c r="C379" t="s">
        <v>45</v>
      </c>
      <c r="D379">
        <v>17263</v>
      </c>
      <c r="E379" t="str">
        <f>INDEX(Accounts!$C$2:$C$9,MATCH(B379,Accounts!$A$2:$A$9,0))</f>
        <v>Operating Expense</v>
      </c>
    </row>
    <row r="380" spans="1:5" x14ac:dyDescent="0.3">
      <c r="A380" t="s">
        <v>1315</v>
      </c>
      <c r="B380">
        <v>6000</v>
      </c>
      <c r="C380" t="s">
        <v>47</v>
      </c>
      <c r="D380">
        <v>11599</v>
      </c>
      <c r="E380" t="str">
        <f>INDEX(Accounts!$C$2:$C$9,MATCH(B380,Accounts!$A$2:$A$9,0))</f>
        <v>Operating Expense</v>
      </c>
    </row>
    <row r="381" spans="1:5" x14ac:dyDescent="0.3">
      <c r="A381" t="s">
        <v>1315</v>
      </c>
      <c r="B381">
        <v>6000</v>
      </c>
      <c r="C381" t="s">
        <v>48</v>
      </c>
      <c r="D381">
        <v>11594</v>
      </c>
      <c r="E381" t="str">
        <f>INDEX(Accounts!$C$2:$C$9,MATCH(B381,Accounts!$A$2:$A$9,0))</f>
        <v>Operating Expense</v>
      </c>
    </row>
    <row r="382" spans="1:5" x14ac:dyDescent="0.3">
      <c r="A382" t="s">
        <v>1315</v>
      </c>
      <c r="B382">
        <v>6100</v>
      </c>
      <c r="C382" t="s">
        <v>41</v>
      </c>
      <c r="D382">
        <v>13051</v>
      </c>
      <c r="E382" t="str">
        <f>INDEX(Accounts!$C$2:$C$9,MATCH(B382,Accounts!$A$2:$A$9,0))</f>
        <v>Operating Expense</v>
      </c>
    </row>
    <row r="383" spans="1:5" x14ac:dyDescent="0.3">
      <c r="A383" t="s">
        <v>1315</v>
      </c>
      <c r="B383">
        <v>6100</v>
      </c>
      <c r="C383" t="s">
        <v>43</v>
      </c>
      <c r="D383">
        <v>10239</v>
      </c>
      <c r="E383" t="str">
        <f>INDEX(Accounts!$C$2:$C$9,MATCH(B383,Accounts!$A$2:$A$9,0))</f>
        <v>Operating Expense</v>
      </c>
    </row>
    <row r="384" spans="1:5" x14ac:dyDescent="0.3">
      <c r="A384" t="s">
        <v>1315</v>
      </c>
      <c r="B384">
        <v>6100</v>
      </c>
      <c r="C384" t="s">
        <v>45</v>
      </c>
      <c r="D384">
        <v>7220</v>
      </c>
      <c r="E384" t="str">
        <f>INDEX(Accounts!$C$2:$C$9,MATCH(B384,Accounts!$A$2:$A$9,0))</f>
        <v>Operating Expense</v>
      </c>
    </row>
    <row r="385" spans="1:5" x14ac:dyDescent="0.3">
      <c r="A385" t="s">
        <v>1315</v>
      </c>
      <c r="B385">
        <v>6100</v>
      </c>
      <c r="C385" t="s">
        <v>47</v>
      </c>
      <c r="D385">
        <v>5783</v>
      </c>
      <c r="E385" t="str">
        <f>INDEX(Accounts!$C$2:$C$9,MATCH(B385,Accounts!$A$2:$A$9,0))</f>
        <v>Operating Expense</v>
      </c>
    </row>
    <row r="386" spans="1:5" x14ac:dyDescent="0.3">
      <c r="A386" t="s">
        <v>1315</v>
      </c>
      <c r="B386">
        <v>6100</v>
      </c>
      <c r="C386" t="s">
        <v>48</v>
      </c>
      <c r="D386">
        <v>4788</v>
      </c>
      <c r="E386" t="str">
        <f>INDEX(Accounts!$C$2:$C$9,MATCH(B386,Accounts!$A$2:$A$9,0))</f>
        <v>Operating Expense</v>
      </c>
    </row>
    <row r="387" spans="1:5" x14ac:dyDescent="0.3">
      <c r="A387" t="s">
        <v>1315</v>
      </c>
      <c r="B387">
        <v>6200</v>
      </c>
      <c r="C387" t="s">
        <v>41</v>
      </c>
      <c r="D387">
        <v>11204</v>
      </c>
      <c r="E387" t="str">
        <f>INDEX(Accounts!$C$2:$C$9,MATCH(B387,Accounts!$A$2:$A$9,0))</f>
        <v>Operating Expense</v>
      </c>
    </row>
    <row r="388" spans="1:5" x14ac:dyDescent="0.3">
      <c r="A388" t="s">
        <v>1315</v>
      </c>
      <c r="B388">
        <v>6200</v>
      </c>
      <c r="C388" t="s">
        <v>43</v>
      </c>
      <c r="D388">
        <v>10260</v>
      </c>
      <c r="E388" t="str">
        <f>INDEX(Accounts!$C$2:$C$9,MATCH(B388,Accounts!$A$2:$A$9,0))</f>
        <v>Operating Expense</v>
      </c>
    </row>
    <row r="389" spans="1:5" x14ac:dyDescent="0.3">
      <c r="A389" t="s">
        <v>1315</v>
      </c>
      <c r="B389">
        <v>6200</v>
      </c>
      <c r="C389" t="s">
        <v>45</v>
      </c>
      <c r="D389">
        <v>7235</v>
      </c>
      <c r="E389" t="str">
        <f>INDEX(Accounts!$C$2:$C$9,MATCH(B389,Accounts!$A$2:$A$9,0))</f>
        <v>Operating Expense</v>
      </c>
    </row>
    <row r="390" spans="1:5" x14ac:dyDescent="0.3">
      <c r="A390" t="s">
        <v>1315</v>
      </c>
      <c r="B390">
        <v>6200</v>
      </c>
      <c r="C390" t="s">
        <v>47</v>
      </c>
      <c r="D390">
        <v>5310</v>
      </c>
      <c r="E390" t="str">
        <f>INDEX(Accounts!$C$2:$C$9,MATCH(B390,Accounts!$A$2:$A$9,0))</f>
        <v>Operating Expense</v>
      </c>
    </row>
    <row r="391" spans="1:5" x14ac:dyDescent="0.3">
      <c r="A391" t="s">
        <v>1315</v>
      </c>
      <c r="B391">
        <v>6200</v>
      </c>
      <c r="C391" t="s">
        <v>48</v>
      </c>
      <c r="D391">
        <v>4585</v>
      </c>
      <c r="E391" t="str">
        <f>INDEX(Accounts!$C$2:$C$9,MATCH(B391,Accounts!$A$2:$A$9,0))</f>
        <v>Operating Expense</v>
      </c>
    </row>
    <row r="392" spans="1:5" x14ac:dyDescent="0.3">
      <c r="A392" t="s">
        <v>1315</v>
      </c>
      <c r="B392">
        <v>6300</v>
      </c>
      <c r="C392" t="s">
        <v>41</v>
      </c>
      <c r="D392">
        <v>9007</v>
      </c>
      <c r="E392" t="str">
        <f>INDEX(Accounts!$C$2:$C$9,MATCH(B392,Accounts!$A$2:$A$9,0))</f>
        <v>Operating Expense</v>
      </c>
    </row>
    <row r="393" spans="1:5" x14ac:dyDescent="0.3">
      <c r="A393" t="s">
        <v>1315</v>
      </c>
      <c r="B393">
        <v>6300</v>
      </c>
      <c r="C393" t="s">
        <v>43</v>
      </c>
      <c r="D393">
        <v>9323</v>
      </c>
      <c r="E393" t="str">
        <f>INDEX(Accounts!$C$2:$C$9,MATCH(B393,Accounts!$A$2:$A$9,0))</f>
        <v>Operating Expense</v>
      </c>
    </row>
    <row r="394" spans="1:5" x14ac:dyDescent="0.3">
      <c r="A394" t="s">
        <v>1315</v>
      </c>
      <c r="B394">
        <v>6300</v>
      </c>
      <c r="C394" t="s">
        <v>45</v>
      </c>
      <c r="D394">
        <v>6480</v>
      </c>
      <c r="E394" t="str">
        <f>INDEX(Accounts!$C$2:$C$9,MATCH(B394,Accounts!$A$2:$A$9,0))</f>
        <v>Operating Expense</v>
      </c>
    </row>
    <row r="395" spans="1:5" x14ac:dyDescent="0.3">
      <c r="A395" t="s">
        <v>1315</v>
      </c>
      <c r="B395">
        <v>6300</v>
      </c>
      <c r="C395" t="s">
        <v>47</v>
      </c>
      <c r="D395">
        <v>4427</v>
      </c>
      <c r="E395" t="str">
        <f>INDEX(Accounts!$C$2:$C$9,MATCH(B395,Accounts!$A$2:$A$9,0))</f>
        <v>Operating Expense</v>
      </c>
    </row>
    <row r="396" spans="1:5" x14ac:dyDescent="0.3">
      <c r="A396" t="s">
        <v>1315</v>
      </c>
      <c r="B396">
        <v>6300</v>
      </c>
      <c r="C396" t="s">
        <v>48</v>
      </c>
      <c r="D396">
        <v>4099</v>
      </c>
      <c r="E396" t="str">
        <f>INDEX(Accounts!$C$2:$C$9,MATCH(B396,Accounts!$A$2:$A$9,0))</f>
        <v>Operating Expense</v>
      </c>
    </row>
    <row r="397" spans="1:5" x14ac:dyDescent="0.3">
      <c r="A397" t="s">
        <v>1315</v>
      </c>
      <c r="B397">
        <v>6400</v>
      </c>
      <c r="C397" t="s">
        <v>41</v>
      </c>
      <c r="D397">
        <v>6911</v>
      </c>
      <c r="E397" t="str">
        <f>INDEX(Accounts!$C$2:$C$9,MATCH(B397,Accounts!$A$2:$A$9,0))</f>
        <v>Operating Expense</v>
      </c>
    </row>
    <row r="398" spans="1:5" x14ac:dyDescent="0.3">
      <c r="A398" t="s">
        <v>1315</v>
      </c>
      <c r="B398">
        <v>6400</v>
      </c>
      <c r="C398" t="s">
        <v>43</v>
      </c>
      <c r="D398">
        <v>5140</v>
      </c>
      <c r="E398" t="str">
        <f>INDEX(Accounts!$C$2:$C$9,MATCH(B398,Accounts!$A$2:$A$9,0))</f>
        <v>Operating Expense</v>
      </c>
    </row>
    <row r="399" spans="1:5" x14ac:dyDescent="0.3">
      <c r="A399" t="s">
        <v>1315</v>
      </c>
      <c r="B399">
        <v>6400</v>
      </c>
      <c r="C399" t="s">
        <v>45</v>
      </c>
      <c r="D399">
        <v>3938</v>
      </c>
      <c r="E399" t="str">
        <f>INDEX(Accounts!$C$2:$C$9,MATCH(B399,Accounts!$A$2:$A$9,0))</f>
        <v>Operating Expense</v>
      </c>
    </row>
    <row r="400" spans="1:5" x14ac:dyDescent="0.3">
      <c r="A400" t="s">
        <v>1315</v>
      </c>
      <c r="B400">
        <v>6400</v>
      </c>
      <c r="C400" t="s">
        <v>47</v>
      </c>
      <c r="D400">
        <v>2717</v>
      </c>
      <c r="E400" t="str">
        <f>INDEX(Accounts!$C$2:$C$9,MATCH(B400,Accounts!$A$2:$A$9,0))</f>
        <v>Operating Expense</v>
      </c>
    </row>
    <row r="401" spans="1:5" x14ac:dyDescent="0.3">
      <c r="A401" t="s">
        <v>1315</v>
      </c>
      <c r="B401">
        <v>6400</v>
      </c>
      <c r="C401" t="s">
        <v>48</v>
      </c>
      <c r="D401">
        <v>2598</v>
      </c>
      <c r="E401" t="str">
        <f>INDEX(Accounts!$C$2:$C$9,MATCH(B401,Accounts!$A$2:$A$9,0))</f>
        <v>Operating Expense</v>
      </c>
    </row>
    <row r="402" spans="1:5" x14ac:dyDescent="0.3">
      <c r="A402" t="s">
        <v>1454</v>
      </c>
      <c r="B402">
        <v>4000</v>
      </c>
      <c r="C402" t="s">
        <v>41</v>
      </c>
      <c r="D402">
        <v>173585</v>
      </c>
      <c r="E402" t="str">
        <f>INDEX(Accounts!$C$2:$C$9,MATCH(B402,Accounts!$A$2:$A$9,0))</f>
        <v>Revenue</v>
      </c>
    </row>
    <row r="403" spans="1:5" x14ac:dyDescent="0.3">
      <c r="A403" t="s">
        <v>1454</v>
      </c>
      <c r="B403">
        <v>4000</v>
      </c>
      <c r="C403" t="s">
        <v>43</v>
      </c>
      <c r="D403">
        <v>120743</v>
      </c>
      <c r="E403" t="str">
        <f>INDEX(Accounts!$C$2:$C$9,MATCH(B403,Accounts!$A$2:$A$9,0))</f>
        <v>Revenue</v>
      </c>
    </row>
    <row r="404" spans="1:5" x14ac:dyDescent="0.3">
      <c r="A404" t="s">
        <v>1454</v>
      </c>
      <c r="B404">
        <v>4000</v>
      </c>
      <c r="C404" t="s">
        <v>45</v>
      </c>
      <c r="D404">
        <v>95402</v>
      </c>
      <c r="E404" t="str">
        <f>INDEX(Accounts!$C$2:$C$9,MATCH(B404,Accounts!$A$2:$A$9,0))</f>
        <v>Revenue</v>
      </c>
    </row>
    <row r="405" spans="1:5" x14ac:dyDescent="0.3">
      <c r="A405" t="s">
        <v>1454</v>
      </c>
      <c r="B405">
        <v>4000</v>
      </c>
      <c r="C405" t="s">
        <v>47</v>
      </c>
      <c r="D405">
        <v>76409</v>
      </c>
      <c r="E405" t="str">
        <f>INDEX(Accounts!$C$2:$C$9,MATCH(B405,Accounts!$A$2:$A$9,0))</f>
        <v>Revenue</v>
      </c>
    </row>
    <row r="406" spans="1:5" x14ac:dyDescent="0.3">
      <c r="A406" t="s">
        <v>1454</v>
      </c>
      <c r="B406">
        <v>4000</v>
      </c>
      <c r="C406" t="s">
        <v>48</v>
      </c>
      <c r="D406">
        <v>57356</v>
      </c>
      <c r="E406" t="str">
        <f>INDEX(Accounts!$C$2:$C$9,MATCH(B406,Accounts!$A$2:$A$9,0))</f>
        <v>Revenue</v>
      </c>
    </row>
    <row r="407" spans="1:5" x14ac:dyDescent="0.3">
      <c r="A407" t="s">
        <v>1454</v>
      </c>
      <c r="B407">
        <v>4100</v>
      </c>
      <c r="C407" t="s">
        <v>41</v>
      </c>
      <c r="D407">
        <v>8134</v>
      </c>
      <c r="E407" t="str">
        <f>INDEX(Accounts!$C$2:$C$9,MATCH(B407,Accounts!$A$2:$A$9,0))</f>
        <v>Contra Revenue</v>
      </c>
    </row>
    <row r="408" spans="1:5" x14ac:dyDescent="0.3">
      <c r="A408" t="s">
        <v>1454</v>
      </c>
      <c r="B408">
        <v>4100</v>
      </c>
      <c r="C408" t="s">
        <v>43</v>
      </c>
      <c r="D408">
        <v>7293</v>
      </c>
      <c r="E408" t="str">
        <f>INDEX(Accounts!$C$2:$C$9,MATCH(B408,Accounts!$A$2:$A$9,0))</f>
        <v>Contra Revenue</v>
      </c>
    </row>
    <row r="409" spans="1:5" x14ac:dyDescent="0.3">
      <c r="A409" t="s">
        <v>1454</v>
      </c>
      <c r="B409">
        <v>4100</v>
      </c>
      <c r="C409" t="s">
        <v>45</v>
      </c>
      <c r="D409">
        <v>5082</v>
      </c>
      <c r="E409" t="str">
        <f>INDEX(Accounts!$C$2:$C$9,MATCH(B409,Accounts!$A$2:$A$9,0))</f>
        <v>Contra Revenue</v>
      </c>
    </row>
    <row r="410" spans="1:5" x14ac:dyDescent="0.3">
      <c r="A410" t="s">
        <v>1454</v>
      </c>
      <c r="B410">
        <v>4100</v>
      </c>
      <c r="C410" t="s">
        <v>47</v>
      </c>
      <c r="D410">
        <v>3356</v>
      </c>
      <c r="E410" t="str">
        <f>INDEX(Accounts!$C$2:$C$9,MATCH(B410,Accounts!$A$2:$A$9,0))</f>
        <v>Contra Revenue</v>
      </c>
    </row>
    <row r="411" spans="1:5" x14ac:dyDescent="0.3">
      <c r="A411" t="s">
        <v>1454</v>
      </c>
      <c r="B411">
        <v>4100</v>
      </c>
      <c r="C411" t="s">
        <v>48</v>
      </c>
      <c r="D411">
        <v>2953</v>
      </c>
      <c r="E411" t="str">
        <f>INDEX(Accounts!$C$2:$C$9,MATCH(B411,Accounts!$A$2:$A$9,0))</f>
        <v>Contra Revenue</v>
      </c>
    </row>
    <row r="412" spans="1:5" x14ac:dyDescent="0.3">
      <c r="A412" t="s">
        <v>1454</v>
      </c>
      <c r="B412">
        <v>5000</v>
      </c>
      <c r="C412" t="s">
        <v>41</v>
      </c>
      <c r="D412">
        <v>63994</v>
      </c>
      <c r="E412" t="str">
        <f>INDEX(Accounts!$C$2:$C$9,MATCH(B412,Accounts!$A$2:$A$9,0))</f>
        <v>COGS</v>
      </c>
    </row>
    <row r="413" spans="1:5" x14ac:dyDescent="0.3">
      <c r="A413" t="s">
        <v>1454</v>
      </c>
      <c r="B413">
        <v>5000</v>
      </c>
      <c r="C413" t="s">
        <v>43</v>
      </c>
      <c r="D413">
        <v>51434</v>
      </c>
      <c r="E413" t="str">
        <f>INDEX(Accounts!$C$2:$C$9,MATCH(B413,Accounts!$A$2:$A$9,0))</f>
        <v>COGS</v>
      </c>
    </row>
    <row r="414" spans="1:5" x14ac:dyDescent="0.3">
      <c r="A414" t="s">
        <v>1454</v>
      </c>
      <c r="B414">
        <v>5000</v>
      </c>
      <c r="C414" t="s">
        <v>45</v>
      </c>
      <c r="D414">
        <v>41071</v>
      </c>
      <c r="E414" t="str">
        <f>INDEX(Accounts!$C$2:$C$9,MATCH(B414,Accounts!$A$2:$A$9,0))</f>
        <v>COGS</v>
      </c>
    </row>
    <row r="415" spans="1:5" x14ac:dyDescent="0.3">
      <c r="A415" t="s">
        <v>1454</v>
      </c>
      <c r="B415">
        <v>5000</v>
      </c>
      <c r="C415" t="s">
        <v>47</v>
      </c>
      <c r="D415">
        <v>31381</v>
      </c>
      <c r="E415" t="str">
        <f>INDEX(Accounts!$C$2:$C$9,MATCH(B415,Accounts!$A$2:$A$9,0))</f>
        <v>COGS</v>
      </c>
    </row>
    <row r="416" spans="1:5" x14ac:dyDescent="0.3">
      <c r="A416" t="s">
        <v>1454</v>
      </c>
      <c r="B416">
        <v>5000</v>
      </c>
      <c r="C416" t="s">
        <v>48</v>
      </c>
      <c r="D416">
        <v>27007</v>
      </c>
      <c r="E416" t="str">
        <f>INDEX(Accounts!$C$2:$C$9,MATCH(B416,Accounts!$A$2:$A$9,0))</f>
        <v>COGS</v>
      </c>
    </row>
    <row r="417" spans="1:5" x14ac:dyDescent="0.3">
      <c r="A417" t="s">
        <v>1454</v>
      </c>
      <c r="B417">
        <v>6000</v>
      </c>
      <c r="C417" t="s">
        <v>41</v>
      </c>
      <c r="D417">
        <v>26924</v>
      </c>
      <c r="E417" t="str">
        <f>INDEX(Accounts!$C$2:$C$9,MATCH(B417,Accounts!$A$2:$A$9,0))</f>
        <v>Operating Expense</v>
      </c>
    </row>
    <row r="418" spans="1:5" x14ac:dyDescent="0.3">
      <c r="A418" t="s">
        <v>1454</v>
      </c>
      <c r="B418">
        <v>6000</v>
      </c>
      <c r="C418" t="s">
        <v>43</v>
      </c>
      <c r="D418">
        <v>21221</v>
      </c>
      <c r="E418" t="str">
        <f>INDEX(Accounts!$C$2:$C$9,MATCH(B418,Accounts!$A$2:$A$9,0))</f>
        <v>Operating Expense</v>
      </c>
    </row>
    <row r="419" spans="1:5" x14ac:dyDescent="0.3">
      <c r="A419" t="s">
        <v>1454</v>
      </c>
      <c r="B419">
        <v>6000</v>
      </c>
      <c r="C419" t="s">
        <v>45</v>
      </c>
      <c r="D419">
        <v>17147</v>
      </c>
      <c r="E419" t="str">
        <f>INDEX(Accounts!$C$2:$C$9,MATCH(B419,Accounts!$A$2:$A$9,0))</f>
        <v>Operating Expense</v>
      </c>
    </row>
    <row r="420" spans="1:5" x14ac:dyDescent="0.3">
      <c r="A420" t="s">
        <v>1454</v>
      </c>
      <c r="B420">
        <v>6000</v>
      </c>
      <c r="C420" t="s">
        <v>47</v>
      </c>
      <c r="D420">
        <v>12847</v>
      </c>
      <c r="E420" t="str">
        <f>INDEX(Accounts!$C$2:$C$9,MATCH(B420,Accounts!$A$2:$A$9,0))</f>
        <v>Operating Expense</v>
      </c>
    </row>
    <row r="421" spans="1:5" x14ac:dyDescent="0.3">
      <c r="A421" t="s">
        <v>1454</v>
      </c>
      <c r="B421">
        <v>6000</v>
      </c>
      <c r="C421" t="s">
        <v>48</v>
      </c>
      <c r="D421">
        <v>10239</v>
      </c>
      <c r="E421" t="str">
        <f>INDEX(Accounts!$C$2:$C$9,MATCH(B421,Accounts!$A$2:$A$9,0))</f>
        <v>Operating Expense</v>
      </c>
    </row>
    <row r="422" spans="1:5" x14ac:dyDescent="0.3">
      <c r="A422" t="s">
        <v>1454</v>
      </c>
      <c r="B422">
        <v>6100</v>
      </c>
      <c r="C422" t="s">
        <v>41</v>
      </c>
      <c r="D422">
        <v>11192</v>
      </c>
      <c r="E422" t="str">
        <f>INDEX(Accounts!$C$2:$C$9,MATCH(B422,Accounts!$A$2:$A$9,0))</f>
        <v>Operating Expense</v>
      </c>
    </row>
    <row r="423" spans="1:5" x14ac:dyDescent="0.3">
      <c r="A423" t="s">
        <v>1454</v>
      </c>
      <c r="B423">
        <v>6100</v>
      </c>
      <c r="C423" t="s">
        <v>43</v>
      </c>
      <c r="D423">
        <v>10557</v>
      </c>
      <c r="E423" t="str">
        <f>INDEX(Accounts!$C$2:$C$9,MATCH(B423,Accounts!$A$2:$A$9,0))</f>
        <v>Operating Expense</v>
      </c>
    </row>
    <row r="424" spans="1:5" x14ac:dyDescent="0.3">
      <c r="A424" t="s">
        <v>1454</v>
      </c>
      <c r="B424">
        <v>6100</v>
      </c>
      <c r="C424" t="s">
        <v>45</v>
      </c>
      <c r="D424">
        <v>7342</v>
      </c>
      <c r="E424" t="str">
        <f>INDEX(Accounts!$C$2:$C$9,MATCH(B424,Accounts!$A$2:$A$9,0))</f>
        <v>Operating Expense</v>
      </c>
    </row>
    <row r="425" spans="1:5" x14ac:dyDescent="0.3">
      <c r="A425" t="s">
        <v>1454</v>
      </c>
      <c r="B425">
        <v>6100</v>
      </c>
      <c r="C425" t="s">
        <v>47</v>
      </c>
      <c r="D425">
        <v>5265</v>
      </c>
      <c r="E425" t="str">
        <f>INDEX(Accounts!$C$2:$C$9,MATCH(B425,Accounts!$A$2:$A$9,0))</f>
        <v>Operating Expense</v>
      </c>
    </row>
    <row r="426" spans="1:5" x14ac:dyDescent="0.3">
      <c r="A426" t="s">
        <v>1454</v>
      </c>
      <c r="B426">
        <v>6100</v>
      </c>
      <c r="C426" t="s">
        <v>48</v>
      </c>
      <c r="D426">
        <v>4341</v>
      </c>
      <c r="E426" t="str">
        <f>INDEX(Accounts!$C$2:$C$9,MATCH(B426,Accounts!$A$2:$A$9,0))</f>
        <v>Operating Expense</v>
      </c>
    </row>
    <row r="427" spans="1:5" x14ac:dyDescent="0.3">
      <c r="A427" t="s">
        <v>1454</v>
      </c>
      <c r="B427">
        <v>6200</v>
      </c>
      <c r="C427" t="s">
        <v>41</v>
      </c>
      <c r="D427">
        <v>11463</v>
      </c>
      <c r="E427" t="str">
        <f>INDEX(Accounts!$C$2:$C$9,MATCH(B427,Accounts!$A$2:$A$9,0))</f>
        <v>Operating Expense</v>
      </c>
    </row>
    <row r="428" spans="1:5" x14ac:dyDescent="0.3">
      <c r="A428" t="s">
        <v>1454</v>
      </c>
      <c r="B428">
        <v>6200</v>
      </c>
      <c r="C428" t="s">
        <v>43</v>
      </c>
      <c r="D428">
        <v>9145</v>
      </c>
      <c r="E428" t="str">
        <f>INDEX(Accounts!$C$2:$C$9,MATCH(B428,Accounts!$A$2:$A$9,0))</f>
        <v>Operating Expense</v>
      </c>
    </row>
    <row r="429" spans="1:5" x14ac:dyDescent="0.3">
      <c r="A429" t="s">
        <v>1454</v>
      </c>
      <c r="B429">
        <v>6200</v>
      </c>
      <c r="C429" t="s">
        <v>45</v>
      </c>
      <c r="D429">
        <v>6868</v>
      </c>
      <c r="E429" t="str">
        <f>INDEX(Accounts!$C$2:$C$9,MATCH(B429,Accounts!$A$2:$A$9,0))</f>
        <v>Operating Expense</v>
      </c>
    </row>
    <row r="430" spans="1:5" x14ac:dyDescent="0.3">
      <c r="A430" t="s">
        <v>1454</v>
      </c>
      <c r="B430">
        <v>6200</v>
      </c>
      <c r="C430" t="s">
        <v>47</v>
      </c>
      <c r="D430">
        <v>5363</v>
      </c>
      <c r="E430" t="str">
        <f>INDEX(Accounts!$C$2:$C$9,MATCH(B430,Accounts!$A$2:$A$9,0))</f>
        <v>Operating Expense</v>
      </c>
    </row>
    <row r="431" spans="1:5" x14ac:dyDescent="0.3">
      <c r="A431" t="s">
        <v>1454</v>
      </c>
      <c r="B431">
        <v>6200</v>
      </c>
      <c r="C431" t="s">
        <v>48</v>
      </c>
      <c r="D431">
        <v>4495</v>
      </c>
      <c r="E431" t="str">
        <f>INDEX(Accounts!$C$2:$C$9,MATCH(B431,Accounts!$A$2:$A$9,0))</f>
        <v>Operating Expense</v>
      </c>
    </row>
    <row r="432" spans="1:5" x14ac:dyDescent="0.3">
      <c r="A432" t="s">
        <v>1454</v>
      </c>
      <c r="B432">
        <v>6300</v>
      </c>
      <c r="C432" t="s">
        <v>41</v>
      </c>
      <c r="D432">
        <v>11191</v>
      </c>
      <c r="E432" t="str">
        <f>INDEX(Accounts!$C$2:$C$9,MATCH(B432,Accounts!$A$2:$A$9,0))</f>
        <v>Operating Expense</v>
      </c>
    </row>
    <row r="433" spans="1:5" x14ac:dyDescent="0.3">
      <c r="A433" t="s">
        <v>1454</v>
      </c>
      <c r="B433">
        <v>6300</v>
      </c>
      <c r="C433" t="s">
        <v>43</v>
      </c>
      <c r="D433">
        <v>7628</v>
      </c>
      <c r="E433" t="str">
        <f>INDEX(Accounts!$C$2:$C$9,MATCH(B433,Accounts!$A$2:$A$9,0))</f>
        <v>Operating Expense</v>
      </c>
    </row>
    <row r="434" spans="1:5" x14ac:dyDescent="0.3">
      <c r="A434" t="s">
        <v>1454</v>
      </c>
      <c r="B434">
        <v>6300</v>
      </c>
      <c r="C434" t="s">
        <v>45</v>
      </c>
      <c r="D434">
        <v>5474</v>
      </c>
      <c r="E434" t="str">
        <f>INDEX(Accounts!$C$2:$C$9,MATCH(B434,Accounts!$A$2:$A$9,0))</f>
        <v>Operating Expense</v>
      </c>
    </row>
    <row r="435" spans="1:5" x14ac:dyDescent="0.3">
      <c r="A435" t="s">
        <v>1454</v>
      </c>
      <c r="B435">
        <v>6300</v>
      </c>
      <c r="C435" t="s">
        <v>47</v>
      </c>
      <c r="D435">
        <v>4723</v>
      </c>
      <c r="E435" t="str">
        <f>INDEX(Accounts!$C$2:$C$9,MATCH(B435,Accounts!$A$2:$A$9,0))</f>
        <v>Operating Expense</v>
      </c>
    </row>
    <row r="436" spans="1:5" x14ac:dyDescent="0.3">
      <c r="A436" t="s">
        <v>1454</v>
      </c>
      <c r="B436">
        <v>6300</v>
      </c>
      <c r="C436" t="s">
        <v>48</v>
      </c>
      <c r="D436">
        <v>3638</v>
      </c>
      <c r="E436" t="str">
        <f>INDEX(Accounts!$C$2:$C$9,MATCH(B436,Accounts!$A$2:$A$9,0))</f>
        <v>Operating Expense</v>
      </c>
    </row>
    <row r="437" spans="1:5" x14ac:dyDescent="0.3">
      <c r="A437" t="s">
        <v>1454</v>
      </c>
      <c r="B437">
        <v>6400</v>
      </c>
      <c r="C437" t="s">
        <v>41</v>
      </c>
      <c r="D437">
        <v>5788</v>
      </c>
      <c r="E437" t="str">
        <f>INDEX(Accounts!$C$2:$C$9,MATCH(B437,Accounts!$A$2:$A$9,0))</f>
        <v>Operating Expense</v>
      </c>
    </row>
    <row r="438" spans="1:5" x14ac:dyDescent="0.3">
      <c r="A438" t="s">
        <v>1454</v>
      </c>
      <c r="B438">
        <v>6400</v>
      </c>
      <c r="C438" t="s">
        <v>43</v>
      </c>
      <c r="D438">
        <v>5657</v>
      </c>
      <c r="E438" t="str">
        <f>INDEX(Accounts!$C$2:$C$9,MATCH(B438,Accounts!$A$2:$A$9,0))</f>
        <v>Operating Expense</v>
      </c>
    </row>
    <row r="439" spans="1:5" x14ac:dyDescent="0.3">
      <c r="A439" t="s">
        <v>1454</v>
      </c>
      <c r="B439">
        <v>6400</v>
      </c>
      <c r="C439" t="s">
        <v>45</v>
      </c>
      <c r="D439">
        <v>3926</v>
      </c>
      <c r="E439" t="str">
        <f>INDEX(Accounts!$C$2:$C$9,MATCH(B439,Accounts!$A$2:$A$9,0))</f>
        <v>Operating Expense</v>
      </c>
    </row>
    <row r="440" spans="1:5" x14ac:dyDescent="0.3">
      <c r="A440" t="s">
        <v>1454</v>
      </c>
      <c r="B440">
        <v>6400</v>
      </c>
      <c r="C440" t="s">
        <v>47</v>
      </c>
      <c r="D440">
        <v>2752</v>
      </c>
      <c r="E440" t="str">
        <f>INDEX(Accounts!$C$2:$C$9,MATCH(B440,Accounts!$A$2:$A$9,0))</f>
        <v>Operating Expense</v>
      </c>
    </row>
    <row r="441" spans="1:5" x14ac:dyDescent="0.3">
      <c r="A441" t="s">
        <v>1454</v>
      </c>
      <c r="B441">
        <v>6400</v>
      </c>
      <c r="C441" t="s">
        <v>48</v>
      </c>
      <c r="D441">
        <v>2623</v>
      </c>
      <c r="E441" t="str">
        <f>INDEX(Accounts!$C$2:$C$9,MATCH(B441,Accounts!$A$2:$A$9,0))</f>
        <v>Operating Expense</v>
      </c>
    </row>
    <row r="442" spans="1:5" x14ac:dyDescent="0.3">
      <c r="A442" t="s">
        <v>1594</v>
      </c>
      <c r="B442">
        <v>4000</v>
      </c>
      <c r="C442" t="s">
        <v>41</v>
      </c>
      <c r="D442">
        <v>170678</v>
      </c>
      <c r="E442" t="str">
        <f>INDEX(Accounts!$C$2:$C$9,MATCH(B442,Accounts!$A$2:$A$9,0))</f>
        <v>Revenue</v>
      </c>
    </row>
    <row r="443" spans="1:5" x14ac:dyDescent="0.3">
      <c r="A443" t="s">
        <v>1594</v>
      </c>
      <c r="B443">
        <v>4000</v>
      </c>
      <c r="C443" t="s">
        <v>43</v>
      </c>
      <c r="D443">
        <v>122426</v>
      </c>
      <c r="E443" t="str">
        <f>INDEX(Accounts!$C$2:$C$9,MATCH(B443,Accounts!$A$2:$A$9,0))</f>
        <v>Revenue</v>
      </c>
    </row>
    <row r="444" spans="1:5" x14ac:dyDescent="0.3">
      <c r="A444" t="s">
        <v>1594</v>
      </c>
      <c r="B444">
        <v>4000</v>
      </c>
      <c r="C444" t="s">
        <v>45</v>
      </c>
      <c r="D444">
        <v>96324</v>
      </c>
      <c r="E444" t="str">
        <f>INDEX(Accounts!$C$2:$C$9,MATCH(B444,Accounts!$A$2:$A$9,0))</f>
        <v>Revenue</v>
      </c>
    </row>
    <row r="445" spans="1:5" x14ac:dyDescent="0.3">
      <c r="A445" t="s">
        <v>1594</v>
      </c>
      <c r="B445">
        <v>4000</v>
      </c>
      <c r="C445" t="s">
        <v>47</v>
      </c>
      <c r="D445">
        <v>75863</v>
      </c>
      <c r="E445" t="str">
        <f>INDEX(Accounts!$C$2:$C$9,MATCH(B445,Accounts!$A$2:$A$9,0))</f>
        <v>Revenue</v>
      </c>
    </row>
    <row r="446" spans="1:5" x14ac:dyDescent="0.3">
      <c r="A446" t="s">
        <v>1594</v>
      </c>
      <c r="B446">
        <v>4000</v>
      </c>
      <c r="C446" t="s">
        <v>48</v>
      </c>
      <c r="D446">
        <v>56757</v>
      </c>
      <c r="E446" t="str">
        <f>INDEX(Accounts!$C$2:$C$9,MATCH(B446,Accounts!$A$2:$A$9,0))</f>
        <v>Revenue</v>
      </c>
    </row>
    <row r="447" spans="1:5" x14ac:dyDescent="0.3">
      <c r="A447" t="s">
        <v>1594</v>
      </c>
      <c r="B447">
        <v>4100</v>
      </c>
      <c r="C447" t="s">
        <v>41</v>
      </c>
      <c r="D447">
        <v>7566</v>
      </c>
      <c r="E447" t="str">
        <f>INDEX(Accounts!$C$2:$C$9,MATCH(B447,Accounts!$A$2:$A$9,0))</f>
        <v>Contra Revenue</v>
      </c>
    </row>
    <row r="448" spans="1:5" x14ac:dyDescent="0.3">
      <c r="A448" t="s">
        <v>1594</v>
      </c>
      <c r="B448">
        <v>4100</v>
      </c>
      <c r="C448" t="s">
        <v>43</v>
      </c>
      <c r="D448">
        <v>7124</v>
      </c>
      <c r="E448" t="str">
        <f>INDEX(Accounts!$C$2:$C$9,MATCH(B448,Accounts!$A$2:$A$9,0))</f>
        <v>Contra Revenue</v>
      </c>
    </row>
    <row r="449" spans="1:5" x14ac:dyDescent="0.3">
      <c r="A449" t="s">
        <v>1594</v>
      </c>
      <c r="B449">
        <v>4100</v>
      </c>
      <c r="C449" t="s">
        <v>45</v>
      </c>
      <c r="D449">
        <v>4893</v>
      </c>
      <c r="E449" t="str">
        <f>INDEX(Accounts!$C$2:$C$9,MATCH(B449,Accounts!$A$2:$A$9,0))</f>
        <v>Contra Revenue</v>
      </c>
    </row>
    <row r="450" spans="1:5" x14ac:dyDescent="0.3">
      <c r="A450" t="s">
        <v>1594</v>
      </c>
      <c r="B450">
        <v>4100</v>
      </c>
      <c r="C450" t="s">
        <v>47</v>
      </c>
      <c r="D450">
        <v>3940</v>
      </c>
      <c r="E450" t="str">
        <f>INDEX(Accounts!$C$2:$C$9,MATCH(B450,Accounts!$A$2:$A$9,0))</f>
        <v>Contra Revenue</v>
      </c>
    </row>
    <row r="451" spans="1:5" x14ac:dyDescent="0.3">
      <c r="A451" t="s">
        <v>1594</v>
      </c>
      <c r="B451">
        <v>4100</v>
      </c>
      <c r="C451" t="s">
        <v>48</v>
      </c>
      <c r="D451">
        <v>2958</v>
      </c>
      <c r="E451" t="str">
        <f>INDEX(Accounts!$C$2:$C$9,MATCH(B451,Accounts!$A$2:$A$9,0))</f>
        <v>Contra Revenue</v>
      </c>
    </row>
    <row r="452" spans="1:5" x14ac:dyDescent="0.3">
      <c r="A452" t="s">
        <v>1594</v>
      </c>
      <c r="B452">
        <v>5000</v>
      </c>
      <c r="C452" t="s">
        <v>41</v>
      </c>
      <c r="D452">
        <v>68529</v>
      </c>
      <c r="E452" t="str">
        <f>INDEX(Accounts!$C$2:$C$9,MATCH(B452,Accounts!$A$2:$A$9,0))</f>
        <v>COGS</v>
      </c>
    </row>
    <row r="453" spans="1:5" x14ac:dyDescent="0.3">
      <c r="A453" t="s">
        <v>1594</v>
      </c>
      <c r="B453">
        <v>5000</v>
      </c>
      <c r="C453" t="s">
        <v>43</v>
      </c>
      <c r="D453">
        <v>50708</v>
      </c>
      <c r="E453" t="str">
        <f>INDEX(Accounts!$C$2:$C$9,MATCH(B453,Accounts!$A$2:$A$9,0))</f>
        <v>COGS</v>
      </c>
    </row>
    <row r="454" spans="1:5" x14ac:dyDescent="0.3">
      <c r="A454" t="s">
        <v>1594</v>
      </c>
      <c r="B454">
        <v>5000</v>
      </c>
      <c r="C454" t="s">
        <v>45</v>
      </c>
      <c r="D454">
        <v>36578</v>
      </c>
      <c r="E454" t="str">
        <f>INDEX(Accounts!$C$2:$C$9,MATCH(B454,Accounts!$A$2:$A$9,0))</f>
        <v>COGS</v>
      </c>
    </row>
    <row r="455" spans="1:5" x14ac:dyDescent="0.3">
      <c r="A455" t="s">
        <v>1594</v>
      </c>
      <c r="B455">
        <v>5000</v>
      </c>
      <c r="C455" t="s">
        <v>47</v>
      </c>
      <c r="D455">
        <v>26054</v>
      </c>
      <c r="E455" t="str">
        <f>INDEX(Accounts!$C$2:$C$9,MATCH(B455,Accounts!$A$2:$A$9,0))</f>
        <v>COGS</v>
      </c>
    </row>
    <row r="456" spans="1:5" x14ac:dyDescent="0.3">
      <c r="A456" t="s">
        <v>1594</v>
      </c>
      <c r="B456">
        <v>5000</v>
      </c>
      <c r="C456" t="s">
        <v>48</v>
      </c>
      <c r="D456">
        <v>25158</v>
      </c>
      <c r="E456" t="str">
        <f>INDEX(Accounts!$C$2:$C$9,MATCH(B456,Accounts!$A$2:$A$9,0))</f>
        <v>COGS</v>
      </c>
    </row>
    <row r="457" spans="1:5" x14ac:dyDescent="0.3">
      <c r="A457" t="s">
        <v>1594</v>
      </c>
      <c r="B457">
        <v>6000</v>
      </c>
      <c r="C457" t="s">
        <v>41</v>
      </c>
      <c r="D457">
        <v>29552</v>
      </c>
      <c r="E457" t="str">
        <f>INDEX(Accounts!$C$2:$C$9,MATCH(B457,Accounts!$A$2:$A$9,0))</f>
        <v>Operating Expense</v>
      </c>
    </row>
    <row r="458" spans="1:5" x14ac:dyDescent="0.3">
      <c r="A458" t="s">
        <v>1594</v>
      </c>
      <c r="B458">
        <v>6000</v>
      </c>
      <c r="C458" t="s">
        <v>43</v>
      </c>
      <c r="D458">
        <v>23108</v>
      </c>
      <c r="E458" t="str">
        <f>INDEX(Accounts!$C$2:$C$9,MATCH(B458,Accounts!$A$2:$A$9,0))</f>
        <v>Operating Expense</v>
      </c>
    </row>
    <row r="459" spans="1:5" x14ac:dyDescent="0.3">
      <c r="A459" t="s">
        <v>1594</v>
      </c>
      <c r="B459">
        <v>6000</v>
      </c>
      <c r="C459" t="s">
        <v>45</v>
      </c>
      <c r="D459">
        <v>15470</v>
      </c>
      <c r="E459" t="str">
        <f>INDEX(Accounts!$C$2:$C$9,MATCH(B459,Accounts!$A$2:$A$9,0))</f>
        <v>Operating Expense</v>
      </c>
    </row>
    <row r="460" spans="1:5" x14ac:dyDescent="0.3">
      <c r="A460" t="s">
        <v>1594</v>
      </c>
      <c r="B460">
        <v>6000</v>
      </c>
      <c r="C460" t="s">
        <v>47</v>
      </c>
      <c r="D460">
        <v>12463</v>
      </c>
      <c r="E460" t="str">
        <f>INDEX(Accounts!$C$2:$C$9,MATCH(B460,Accounts!$A$2:$A$9,0))</f>
        <v>Operating Expense</v>
      </c>
    </row>
    <row r="461" spans="1:5" x14ac:dyDescent="0.3">
      <c r="A461" t="s">
        <v>1594</v>
      </c>
      <c r="B461">
        <v>6000</v>
      </c>
      <c r="C461" t="s">
        <v>48</v>
      </c>
      <c r="D461">
        <v>11879</v>
      </c>
      <c r="E461" t="str">
        <f>INDEX(Accounts!$C$2:$C$9,MATCH(B461,Accounts!$A$2:$A$9,0))</f>
        <v>Operating Expense</v>
      </c>
    </row>
    <row r="462" spans="1:5" x14ac:dyDescent="0.3">
      <c r="A462" t="s">
        <v>1594</v>
      </c>
      <c r="B462">
        <v>6100</v>
      </c>
      <c r="C462" t="s">
        <v>41</v>
      </c>
      <c r="D462">
        <v>10965</v>
      </c>
      <c r="E462" t="str">
        <f>INDEX(Accounts!$C$2:$C$9,MATCH(B462,Accounts!$A$2:$A$9,0))</f>
        <v>Operating Expense</v>
      </c>
    </row>
    <row r="463" spans="1:5" x14ac:dyDescent="0.3">
      <c r="A463" t="s">
        <v>1594</v>
      </c>
      <c r="B463">
        <v>6100</v>
      </c>
      <c r="C463" t="s">
        <v>43</v>
      </c>
      <c r="D463">
        <v>10068</v>
      </c>
      <c r="E463" t="str">
        <f>INDEX(Accounts!$C$2:$C$9,MATCH(B463,Accounts!$A$2:$A$9,0))</f>
        <v>Operating Expense</v>
      </c>
    </row>
    <row r="464" spans="1:5" x14ac:dyDescent="0.3">
      <c r="A464" t="s">
        <v>1594</v>
      </c>
      <c r="B464">
        <v>6100</v>
      </c>
      <c r="C464" t="s">
        <v>45</v>
      </c>
      <c r="D464">
        <v>7665</v>
      </c>
      <c r="E464" t="str">
        <f>INDEX(Accounts!$C$2:$C$9,MATCH(B464,Accounts!$A$2:$A$9,0))</f>
        <v>Operating Expense</v>
      </c>
    </row>
    <row r="465" spans="1:5" x14ac:dyDescent="0.3">
      <c r="A465" t="s">
        <v>1594</v>
      </c>
      <c r="B465">
        <v>6100</v>
      </c>
      <c r="C465" t="s">
        <v>47</v>
      </c>
      <c r="D465">
        <v>4956</v>
      </c>
      <c r="E465" t="str">
        <f>INDEX(Accounts!$C$2:$C$9,MATCH(B465,Accounts!$A$2:$A$9,0))</f>
        <v>Operating Expense</v>
      </c>
    </row>
    <row r="466" spans="1:5" x14ac:dyDescent="0.3">
      <c r="A466" t="s">
        <v>1594</v>
      </c>
      <c r="B466">
        <v>6100</v>
      </c>
      <c r="C466" t="s">
        <v>48</v>
      </c>
      <c r="D466">
        <v>5116</v>
      </c>
      <c r="E466" t="str">
        <f>INDEX(Accounts!$C$2:$C$9,MATCH(B466,Accounts!$A$2:$A$9,0))</f>
        <v>Operating Expense</v>
      </c>
    </row>
    <row r="467" spans="1:5" x14ac:dyDescent="0.3">
      <c r="A467" t="s">
        <v>1594</v>
      </c>
      <c r="B467">
        <v>6200</v>
      </c>
      <c r="C467" t="s">
        <v>41</v>
      </c>
      <c r="D467">
        <v>11180</v>
      </c>
      <c r="E467" t="str">
        <f>INDEX(Accounts!$C$2:$C$9,MATCH(B467,Accounts!$A$2:$A$9,0))</f>
        <v>Operating Expense</v>
      </c>
    </row>
    <row r="468" spans="1:5" x14ac:dyDescent="0.3">
      <c r="A468" t="s">
        <v>1594</v>
      </c>
      <c r="B468">
        <v>6200</v>
      </c>
      <c r="C468" t="s">
        <v>43</v>
      </c>
      <c r="D468">
        <v>10192</v>
      </c>
      <c r="E468" t="str">
        <f>INDEX(Accounts!$C$2:$C$9,MATCH(B468,Accounts!$A$2:$A$9,0))</f>
        <v>Operating Expense</v>
      </c>
    </row>
    <row r="469" spans="1:5" x14ac:dyDescent="0.3">
      <c r="A469" t="s">
        <v>1594</v>
      </c>
      <c r="B469">
        <v>6200</v>
      </c>
      <c r="C469" t="s">
        <v>45</v>
      </c>
      <c r="D469">
        <v>7534</v>
      </c>
      <c r="E469" t="str">
        <f>INDEX(Accounts!$C$2:$C$9,MATCH(B469,Accounts!$A$2:$A$9,0))</f>
        <v>Operating Expense</v>
      </c>
    </row>
    <row r="470" spans="1:5" x14ac:dyDescent="0.3">
      <c r="A470" t="s">
        <v>1594</v>
      </c>
      <c r="B470">
        <v>6200</v>
      </c>
      <c r="C470" t="s">
        <v>47</v>
      </c>
      <c r="D470">
        <v>5194</v>
      </c>
      <c r="E470" t="str">
        <f>INDEX(Accounts!$C$2:$C$9,MATCH(B470,Accounts!$A$2:$A$9,0))</f>
        <v>Operating Expense</v>
      </c>
    </row>
    <row r="471" spans="1:5" x14ac:dyDescent="0.3">
      <c r="A471" t="s">
        <v>1594</v>
      </c>
      <c r="B471">
        <v>6200</v>
      </c>
      <c r="C471" t="s">
        <v>48</v>
      </c>
      <c r="D471">
        <v>4371</v>
      </c>
      <c r="E471" t="str">
        <f>INDEX(Accounts!$C$2:$C$9,MATCH(B471,Accounts!$A$2:$A$9,0))</f>
        <v>Operating Expense</v>
      </c>
    </row>
    <row r="472" spans="1:5" x14ac:dyDescent="0.3">
      <c r="A472" t="s">
        <v>1594</v>
      </c>
      <c r="B472">
        <v>6300</v>
      </c>
      <c r="C472" t="s">
        <v>41</v>
      </c>
      <c r="D472">
        <v>11147</v>
      </c>
      <c r="E472" t="str">
        <f>INDEX(Accounts!$C$2:$C$9,MATCH(B472,Accounts!$A$2:$A$9,0))</f>
        <v>Operating Expense</v>
      </c>
    </row>
    <row r="473" spans="1:5" x14ac:dyDescent="0.3">
      <c r="A473" t="s">
        <v>1594</v>
      </c>
      <c r="B473">
        <v>6300</v>
      </c>
      <c r="C473" t="s">
        <v>43</v>
      </c>
      <c r="D473">
        <v>8624</v>
      </c>
      <c r="E473" t="str">
        <f>INDEX(Accounts!$C$2:$C$9,MATCH(B473,Accounts!$A$2:$A$9,0))</f>
        <v>Operating Expense</v>
      </c>
    </row>
    <row r="474" spans="1:5" x14ac:dyDescent="0.3">
      <c r="A474" t="s">
        <v>1594</v>
      </c>
      <c r="B474">
        <v>6300</v>
      </c>
      <c r="C474" t="s">
        <v>45</v>
      </c>
      <c r="D474">
        <v>5581</v>
      </c>
      <c r="E474" t="str">
        <f>INDEX(Accounts!$C$2:$C$9,MATCH(B474,Accounts!$A$2:$A$9,0))</f>
        <v>Operating Expense</v>
      </c>
    </row>
    <row r="475" spans="1:5" x14ac:dyDescent="0.3">
      <c r="A475" t="s">
        <v>1594</v>
      </c>
      <c r="B475">
        <v>6300</v>
      </c>
      <c r="C475" t="s">
        <v>47</v>
      </c>
      <c r="D475">
        <v>4770</v>
      </c>
      <c r="E475" t="str">
        <f>INDEX(Accounts!$C$2:$C$9,MATCH(B475,Accounts!$A$2:$A$9,0))</f>
        <v>Operating Expense</v>
      </c>
    </row>
    <row r="476" spans="1:5" x14ac:dyDescent="0.3">
      <c r="A476" t="s">
        <v>1594</v>
      </c>
      <c r="B476">
        <v>6300</v>
      </c>
      <c r="C476" t="s">
        <v>48</v>
      </c>
      <c r="D476">
        <v>4298</v>
      </c>
      <c r="E476" t="str">
        <f>INDEX(Accounts!$C$2:$C$9,MATCH(B476,Accounts!$A$2:$A$9,0))</f>
        <v>Operating Expense</v>
      </c>
    </row>
    <row r="477" spans="1:5" x14ac:dyDescent="0.3">
      <c r="A477" t="s">
        <v>1594</v>
      </c>
      <c r="B477">
        <v>6400</v>
      </c>
      <c r="C477" t="s">
        <v>41</v>
      </c>
      <c r="D477">
        <v>6676</v>
      </c>
      <c r="E477" t="str">
        <f>INDEX(Accounts!$C$2:$C$9,MATCH(B477,Accounts!$A$2:$A$9,0))</f>
        <v>Operating Expense</v>
      </c>
    </row>
    <row r="478" spans="1:5" x14ac:dyDescent="0.3">
      <c r="A478" t="s">
        <v>1594</v>
      </c>
      <c r="B478">
        <v>6400</v>
      </c>
      <c r="C478" t="s">
        <v>43</v>
      </c>
      <c r="D478">
        <v>5410</v>
      </c>
      <c r="E478" t="str">
        <f>INDEX(Accounts!$C$2:$C$9,MATCH(B478,Accounts!$A$2:$A$9,0))</f>
        <v>Operating Expense</v>
      </c>
    </row>
    <row r="479" spans="1:5" x14ac:dyDescent="0.3">
      <c r="A479" t="s">
        <v>1594</v>
      </c>
      <c r="B479">
        <v>6400</v>
      </c>
      <c r="C479" t="s">
        <v>45</v>
      </c>
      <c r="D479">
        <v>3652</v>
      </c>
      <c r="E479" t="str">
        <f>INDEX(Accounts!$C$2:$C$9,MATCH(B479,Accounts!$A$2:$A$9,0))</f>
        <v>Operating Expense</v>
      </c>
    </row>
    <row r="480" spans="1:5" x14ac:dyDescent="0.3">
      <c r="A480" t="s">
        <v>1594</v>
      </c>
      <c r="B480">
        <v>6400</v>
      </c>
      <c r="C480" t="s">
        <v>47</v>
      </c>
      <c r="D480">
        <v>2548</v>
      </c>
      <c r="E480" t="str">
        <f>INDEX(Accounts!$C$2:$C$9,MATCH(B480,Accounts!$A$2:$A$9,0))</f>
        <v>Operating Expense</v>
      </c>
    </row>
    <row r="481" spans="1:5" x14ac:dyDescent="0.3">
      <c r="A481" t="s">
        <v>1594</v>
      </c>
      <c r="B481">
        <v>6400</v>
      </c>
      <c r="C481" t="s">
        <v>48</v>
      </c>
      <c r="D481">
        <v>2328</v>
      </c>
      <c r="E481" t="str">
        <f>INDEX(Accounts!$C$2:$C$9,MATCH(B481,Accounts!$A$2:$A$9,0))</f>
        <v>Operating Expense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showGridLines="0" workbookViewId="0">
      <selection activeCell="E12" sqref="E12"/>
    </sheetView>
  </sheetViews>
  <sheetFormatPr defaultRowHeight="14.4" x14ac:dyDescent="0.3"/>
  <cols>
    <col min="1" max="1" width="45" customWidth="1"/>
    <col min="2" max="2" width="18" customWidth="1"/>
    <col min="3" max="3" width="20" customWidth="1"/>
    <col min="4" max="4" width="16" customWidth="1"/>
    <col min="5" max="5" width="45" customWidth="1"/>
  </cols>
  <sheetData>
    <row r="1" spans="1:5" ht="31.95" customHeight="1" x14ac:dyDescent="0.3">
      <c r="A1" s="66" t="s">
        <v>1771</v>
      </c>
      <c r="B1" s="65"/>
      <c r="C1" s="65"/>
      <c r="D1" s="65"/>
      <c r="E1" s="65"/>
    </row>
    <row r="2" spans="1:5" x14ac:dyDescent="0.3">
      <c r="A2" s="59" t="s">
        <v>1772</v>
      </c>
      <c r="B2" s="58"/>
      <c r="C2" s="58"/>
      <c r="D2" s="58"/>
      <c r="E2" s="58"/>
    </row>
    <row r="4" spans="1:5" ht="24" customHeight="1" x14ac:dyDescent="0.3">
      <c r="A4" s="18" t="s">
        <v>1773</v>
      </c>
      <c r="B4" s="8" t="s">
        <v>1774</v>
      </c>
      <c r="C4" s="8" t="s">
        <v>1775</v>
      </c>
      <c r="D4" s="8" t="s">
        <v>1776</v>
      </c>
      <c r="E4" s="18" t="s">
        <v>1777</v>
      </c>
    </row>
    <row r="5" spans="1:5" ht="16.8" x14ac:dyDescent="0.4">
      <c r="A5" s="19" t="s">
        <v>1778</v>
      </c>
      <c r="B5" s="21">
        <f>COUNTA(Raw_Data!A2:A1000)</f>
        <v>999</v>
      </c>
      <c r="C5" s="3" t="s">
        <v>1779</v>
      </c>
      <c r="D5" s="22" t="str">
        <f>IF(B5&gt;0,"PASS","FLAG")</f>
        <v>PASS</v>
      </c>
      <c r="E5" s="2" t="s">
        <v>1780</v>
      </c>
    </row>
    <row r="6" spans="1:5" ht="16.8" x14ac:dyDescent="0.4">
      <c r="A6" s="19" t="s">
        <v>1781</v>
      </c>
      <c r="B6" s="21">
        <f>COUNTA(Raw_Data!A2:A1000)-SUMPRODUCT(1*(FREQUENCY(MATCH(Raw_Data!A2:A432,Raw_Data!A2:A432,0),MATCH(Raw_Data!A2:A432,Raw_Data!A2:A432,0))&gt;0))</f>
        <v>568</v>
      </c>
      <c r="C6" s="3" t="s">
        <v>1782</v>
      </c>
      <c r="D6" s="22" t="str">
        <f>IF(B6=0,"PASS","FLAG")</f>
        <v>FLAG</v>
      </c>
      <c r="E6" s="2" t="s">
        <v>1783</v>
      </c>
    </row>
    <row r="7" spans="1:5" ht="16.8" x14ac:dyDescent="0.4">
      <c r="A7" s="19" t="s">
        <v>1784</v>
      </c>
      <c r="B7" s="21">
        <f>COUNTIF(Raw_Data!E2:E1000,"#N/A")</f>
        <v>0</v>
      </c>
      <c r="C7" s="3" t="s">
        <v>1782</v>
      </c>
      <c r="D7" s="22" t="str">
        <f>IF(B7=0,"PASS","FLAG")</f>
        <v>PASS</v>
      </c>
      <c r="E7" s="2" t="s">
        <v>1785</v>
      </c>
    </row>
    <row r="8" spans="1:5" ht="16.8" x14ac:dyDescent="0.4">
      <c r="A8" s="19" t="s">
        <v>1786</v>
      </c>
      <c r="B8" s="21">
        <f>COUNTBLANK(Raw_Data!B2:B432)</f>
        <v>0</v>
      </c>
      <c r="C8" s="3" t="s">
        <v>1782</v>
      </c>
      <c r="D8" s="22" t="str">
        <f>IF(B8=0,"PASS","FLAG")</f>
        <v>PASS</v>
      </c>
      <c r="E8" s="2" t="s">
        <v>1787</v>
      </c>
    </row>
    <row r="9" spans="1:5" ht="16.8" x14ac:dyDescent="0.4">
      <c r="A9" s="19" t="s">
        <v>1788</v>
      </c>
      <c r="B9" s="21">
        <f>COUNTBLANK(Raw_Data!G2:G432)</f>
        <v>0</v>
      </c>
      <c r="C9" s="3" t="s">
        <v>1782</v>
      </c>
      <c r="D9" s="22" t="str">
        <f>IF(B9=0,"PASS","FLAG")</f>
        <v>PASS</v>
      </c>
      <c r="E9" s="2" t="s">
        <v>1789</v>
      </c>
    </row>
    <row r="10" spans="1:5" ht="16.8" x14ac:dyDescent="0.4">
      <c r="A10" s="19" t="s">
        <v>1790</v>
      </c>
      <c r="B10" s="21">
        <f>COUNTIF(Raw_Data!I2:I1000,"&lt;0")</f>
        <v>0</v>
      </c>
      <c r="C10" s="3" t="s">
        <v>1782</v>
      </c>
      <c r="D10" s="22" t="str">
        <f>IF(B10=0,"PASS","FLAG")</f>
        <v>PASS</v>
      </c>
      <c r="E10" s="2" t="s">
        <v>1791</v>
      </c>
    </row>
    <row r="11" spans="1:5" ht="16.8" x14ac:dyDescent="0.4">
      <c r="A11" s="19" t="s">
        <v>1792</v>
      </c>
      <c r="B11" s="54">
        <f>SUM(Raw_Data!I2:I1000)</f>
        <v>41280729</v>
      </c>
      <c r="C11" s="3" t="s">
        <v>1779</v>
      </c>
      <c r="D11" s="22" t="str">
        <f>IF(B11&gt;0,"PASS","FLAG")</f>
        <v>PASS</v>
      </c>
      <c r="E11" s="2" t="s">
        <v>1793</v>
      </c>
    </row>
    <row r="12" spans="1:5" ht="16.8" x14ac:dyDescent="0.4">
      <c r="A12" s="19" t="s">
        <v>1794</v>
      </c>
      <c r="B12" s="21">
        <f>COUNTIF(Raw_Data!F2:F1000,"#N/A")</f>
        <v>0</v>
      </c>
      <c r="C12" s="3" t="s">
        <v>1782</v>
      </c>
      <c r="D12" s="22" t="str">
        <f>IF(B12=0,"PASS","FLAG")</f>
        <v>PASS</v>
      </c>
      <c r="E12" s="2" t="s">
        <v>1795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Dashboard</vt:lpstr>
      <vt:lpstr>Income_Statement</vt:lpstr>
      <vt:lpstr>Department_Performance</vt:lpstr>
      <vt:lpstr>Data &gt;&gt;</vt:lpstr>
      <vt:lpstr>Accounts</vt:lpstr>
      <vt:lpstr>Validation_Lists</vt:lpstr>
      <vt:lpstr>Raw_Data</vt:lpstr>
      <vt:lpstr>Budget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Khushal Dusane</cp:lastModifiedBy>
  <dcterms:created xsi:type="dcterms:W3CDTF">2026-10-21T14:34:58Z</dcterms:created>
  <dcterms:modified xsi:type="dcterms:W3CDTF">2026-10-21T17:27:02Z</dcterms:modified>
</cp:coreProperties>
</file>